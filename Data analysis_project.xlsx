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SEMINAR AND PROJECTS\data analysis\"/>
    </mc:Choice>
  </mc:AlternateContent>
  <bookViews>
    <workbookView xWindow="-108" yWindow="-108" windowWidth="19428" windowHeight="10308" firstSheet="5" activeTab="8"/>
  </bookViews>
  <sheets>
    <sheet name="uncleane data" sheetId="1" r:id="rId1"/>
    <sheet name="CLEANED DATA" sheetId="17" r:id="rId2"/>
    <sheet name="filtre" sheetId="16" r:id="rId3"/>
    <sheet name="only_spain_workers" sheetId="20" r:id="rId4"/>
    <sheet name="resume of pivot table " sheetId="9" r:id="rId5"/>
    <sheet name="filter with age" sheetId="18" r:id="rId6"/>
    <sheet name="dashboards 6 charts " sheetId="15" r:id="rId7"/>
    <sheet name=",sumif,count,average" sheetId="25" r:id="rId8"/>
    <sheet name="sql question" sheetId="27" r:id="rId9"/>
  </sheets>
  <definedNames>
    <definedName name="_xlchart.v1.0" hidden="1">'CLEANED DATA'!$J$1</definedName>
    <definedName name="_xlchart.v1.1" hidden="1">'CLEANED DATA'!$J$2:$J$99</definedName>
    <definedName name="_xlcn.WorksheetConnection_sylvestredataproject.xlsxTable31" hidden="1">Table3[]</definedName>
  </definedNames>
  <calcPr calcId="162913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sylvestre data project.xlsx!Table3"/>
        </x15:modelTables>
      </x15:dataModel>
    </ext>
  </extLst>
</workbook>
</file>

<file path=xl/calcChain.xml><?xml version="1.0" encoding="utf-8"?>
<calcChain xmlns="http://schemas.openxmlformats.org/spreadsheetml/2006/main">
  <c r="N7" i="25" l="1"/>
  <c r="M15" i="25"/>
  <c r="P12" i="25"/>
  <c r="R7" i="25"/>
  <c r="R6" i="25"/>
  <c r="P7" i="25"/>
  <c r="N6" i="25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sylvestre data project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sylvestredataproject.xlsxTable31"/>
        </x15:connection>
      </ext>
    </extLst>
  </connection>
</connections>
</file>

<file path=xl/sharedStrings.xml><?xml version="1.0" encoding="utf-8"?>
<sst xmlns="http://schemas.openxmlformats.org/spreadsheetml/2006/main" count="1998" uniqueCount="350">
  <si>
    <t>Order ID</t>
  </si>
  <si>
    <t>Date</t>
  </si>
  <si>
    <t>First</t>
  </si>
  <si>
    <t>Last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</si>
  <si>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</si>
  <si>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</si>
  <si>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</si>
  <si>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</si>
  <si>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</si>
  <si>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</si>
  <si>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</si>
  <si>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</si>
  <si>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</t>
  </si>
  <si>
    <t>Murphy</t>
  </si>
  <si>
    <t>Female</t>
  </si>
  <si>
    <t>FR</t>
  </si>
  <si>
    <t xml:space="preserve"> Credit Card</t>
  </si>
  <si>
    <t>ANNa Perez</t>
  </si>
  <si>
    <t>Janice</t>
  </si>
  <si>
    <t>Clark</t>
  </si>
  <si>
    <t>IT</t>
  </si>
  <si>
    <t xml:space="preserve"> Cash</t>
  </si>
  <si>
    <t xml:space="preserve">    Anna Perez</t>
  </si>
  <si>
    <t>Charlotte</t>
  </si>
  <si>
    <t>Walker</t>
  </si>
  <si>
    <t>Anna Perez</t>
  </si>
  <si>
    <t>Natalie</t>
  </si>
  <si>
    <t>Robinson</t>
  </si>
  <si>
    <t>ANNA PEREZ</t>
  </si>
  <si>
    <t>Doris</t>
  </si>
  <si>
    <t>Nguyen</t>
  </si>
  <si>
    <t xml:space="preserve">    Tom Jackson</t>
  </si>
  <si>
    <t>Keith</t>
  </si>
  <si>
    <t>Roberts</t>
  </si>
  <si>
    <t>Male</t>
  </si>
  <si>
    <t>UK</t>
  </si>
  <si>
    <t>TOM Jackson</t>
  </si>
  <si>
    <t>Kelly</t>
  </si>
  <si>
    <t>Jones</t>
  </si>
  <si>
    <t>JP</t>
  </si>
  <si>
    <t>JeNNA SilVA</t>
  </si>
  <si>
    <t>Kennedi</t>
  </si>
  <si>
    <t>Singh</t>
  </si>
  <si>
    <t>ES</t>
  </si>
  <si>
    <t xml:space="preserve"> Gift Card</t>
  </si>
  <si>
    <t>Joseph</t>
  </si>
  <si>
    <t>Mitchell</t>
  </si>
  <si>
    <t xml:space="preserve">     Anna Perez</t>
  </si>
  <si>
    <t>Steven</t>
  </si>
  <si>
    <t>Simpson</t>
  </si>
  <si>
    <t>US</t>
  </si>
  <si>
    <t xml:space="preserve">  Jenna Silva</t>
  </si>
  <si>
    <t>Kenneth</t>
  </si>
  <si>
    <t>Anderson</t>
  </si>
  <si>
    <t>Nicholas</t>
  </si>
  <si>
    <t>Gerrard</t>
  </si>
  <si>
    <t>Judith</t>
  </si>
  <si>
    <t>Lopez</t>
  </si>
  <si>
    <t xml:space="preserve">   Remy MONET</t>
  </si>
  <si>
    <t>Hannah</t>
  </si>
  <si>
    <t>Garcia</t>
  </si>
  <si>
    <t>REMY MONET</t>
  </si>
  <si>
    <t>Marilyn</t>
  </si>
  <si>
    <t>Allen</t>
  </si>
  <si>
    <t>Brendan</t>
  </si>
  <si>
    <t>Walls</t>
  </si>
  <si>
    <t xml:space="preserve">      Remy Monet</t>
  </si>
  <si>
    <t>Carolyn</t>
  </si>
  <si>
    <t>Muir</t>
  </si>
  <si>
    <t>Teresa</t>
  </si>
  <si>
    <t>Jarris</t>
  </si>
  <si>
    <t>Beverly</t>
  </si>
  <si>
    <t>Young</t>
  </si>
  <si>
    <t>Brittany</t>
  </si>
  <si>
    <t>Hill</t>
  </si>
  <si>
    <t>Christian</t>
  </si>
  <si>
    <t>Carter</t>
  </si>
  <si>
    <t>Gary</t>
  </si>
  <si>
    <t>Sinclair</t>
  </si>
  <si>
    <t>Ivan</t>
  </si>
  <si>
    <t>Hines</t>
  </si>
  <si>
    <t>Walter Muller</t>
  </si>
  <si>
    <t>Jonah</t>
  </si>
  <si>
    <t>Higgins</t>
  </si>
  <si>
    <t>Lucia</t>
  </si>
  <si>
    <t>Mckay</t>
  </si>
  <si>
    <t>Jaylynn</t>
  </si>
  <si>
    <t>Knapp</t>
  </si>
  <si>
    <t>Bryce</t>
  </si>
  <si>
    <t>Carpenter</t>
  </si>
  <si>
    <t>Michael</t>
  </si>
  <si>
    <t>Filson</t>
  </si>
  <si>
    <t>Thomas</t>
  </si>
  <si>
    <t>Daniel</t>
  </si>
  <si>
    <t>Davidson</t>
  </si>
  <si>
    <t>Heather</t>
  </si>
  <si>
    <t>Stevenson</t>
  </si>
  <si>
    <t>USA</t>
  </si>
  <si>
    <t>Martha</t>
  </si>
  <si>
    <t>Lee</t>
  </si>
  <si>
    <t>Remy Monet</t>
  </si>
  <si>
    <t>Richard</t>
  </si>
  <si>
    <t>Ross</t>
  </si>
  <si>
    <t>Andrew</t>
  </si>
  <si>
    <t>Hamilton</t>
  </si>
  <si>
    <t>Jenna Silva</t>
  </si>
  <si>
    <t>Catherine</t>
  </si>
  <si>
    <t>Sunderland</t>
  </si>
  <si>
    <t>Jacob</t>
  </si>
  <si>
    <t>William</t>
  </si>
  <si>
    <t>Victoria</t>
  </si>
  <si>
    <t>Prowse</t>
  </si>
  <si>
    <t>Ruth</t>
  </si>
  <si>
    <t>Milner</t>
  </si>
  <si>
    <t>Virginia</t>
  </si>
  <si>
    <t>Dunk</t>
  </si>
  <si>
    <t>Jenna    Silva</t>
  </si>
  <si>
    <t>Bruce</t>
  </si>
  <si>
    <t>Rich</t>
  </si>
  <si>
    <t>Stewart</t>
  </si>
  <si>
    <t>Charles</t>
  </si>
  <si>
    <t>Gray</t>
  </si>
  <si>
    <t>Ronald</t>
  </si>
  <si>
    <t>Millar</t>
  </si>
  <si>
    <t>Lauren</t>
  </si>
  <si>
    <t>Webster</t>
  </si>
  <si>
    <t>Kayla</t>
  </si>
  <si>
    <t>Nelson</t>
  </si>
  <si>
    <t>Tom Jackson</t>
  </si>
  <si>
    <t>Denzel</t>
  </si>
  <si>
    <t>Flores</t>
  </si>
  <si>
    <t>Bruno</t>
  </si>
  <si>
    <t>Cordova</t>
  </si>
  <si>
    <t>Gloria</t>
  </si>
  <si>
    <t>White</t>
  </si>
  <si>
    <t>Sara</t>
  </si>
  <si>
    <t>Perez</t>
  </si>
  <si>
    <t>Cheryl</t>
  </si>
  <si>
    <t>Davis</t>
  </si>
  <si>
    <t>Jacqueline</t>
  </si>
  <si>
    <t>Moore</t>
  </si>
  <si>
    <t>Jason</t>
  </si>
  <si>
    <t>Crawford</t>
  </si>
  <si>
    <t>Jeffrey</t>
  </si>
  <si>
    <t>Dickson</t>
  </si>
  <si>
    <t>Olivia</t>
  </si>
  <si>
    <t>Craig</t>
  </si>
  <si>
    <t>Julie</t>
  </si>
  <si>
    <t>Wright</t>
  </si>
  <si>
    <t>David</t>
  </si>
  <si>
    <t>Thomson</t>
  </si>
  <si>
    <t>Christopher</t>
  </si>
  <si>
    <t>Taylor</t>
  </si>
  <si>
    <t>Paul</t>
  </si>
  <si>
    <t>Murray</t>
  </si>
  <si>
    <t>Megan</t>
  </si>
  <si>
    <t>Miller</t>
  </si>
  <si>
    <t>Roger</t>
  </si>
  <si>
    <t>Turner</t>
  </si>
  <si>
    <t>Maria</t>
  </si>
  <si>
    <t>Kennedy</t>
  </si>
  <si>
    <t>Donald</t>
  </si>
  <si>
    <t>Kerr</t>
  </si>
  <si>
    <t>Rachel</t>
  </si>
  <si>
    <t>Andrea</t>
  </si>
  <si>
    <t>Gonzalez</t>
  </si>
  <si>
    <t>Kylee</t>
  </si>
  <si>
    <t>Townsend</t>
  </si>
  <si>
    <t>Timothy</t>
  </si>
  <si>
    <t>Johnson</t>
  </si>
  <si>
    <t>Jonathan</t>
  </si>
  <si>
    <t>Burns</t>
  </si>
  <si>
    <t>Joyce</t>
  </si>
  <si>
    <t>Adams</t>
  </si>
  <si>
    <t>Theresa</t>
  </si>
  <si>
    <t>Lewsis</t>
  </si>
  <si>
    <t>Alexis</t>
  </si>
  <si>
    <t>Rivera</t>
  </si>
  <si>
    <t>Terry</t>
  </si>
  <si>
    <t>Evans</t>
  </si>
  <si>
    <t>John</t>
  </si>
  <si>
    <t>Brown</t>
  </si>
  <si>
    <t>Ryan</t>
  </si>
  <si>
    <t>Nyla</t>
  </si>
  <si>
    <t>Novak</t>
  </si>
  <si>
    <t xml:space="preserve">  Walter Muller</t>
  </si>
  <si>
    <t>Evelyn</t>
  </si>
  <si>
    <t>Martinez</t>
  </si>
  <si>
    <t>Bill</t>
  </si>
  <si>
    <t>Smith</t>
  </si>
  <si>
    <t xml:space="preserve">   Tom Jackson</t>
  </si>
  <si>
    <t>Jordan</t>
  </si>
  <si>
    <t>Boone</t>
  </si>
  <si>
    <t>Nora</t>
  </si>
  <si>
    <t>Rollins</t>
  </si>
  <si>
    <t>Josue</t>
  </si>
  <si>
    <t>Roach</t>
  </si>
  <si>
    <t>Harley</t>
  </si>
  <si>
    <t>Fritz</t>
  </si>
  <si>
    <t>Jaidyn</t>
  </si>
  <si>
    <t>Andersen</t>
  </si>
  <si>
    <t>Matthew</t>
  </si>
  <si>
    <t>McDonald</t>
  </si>
  <si>
    <t>Anthony</t>
  </si>
  <si>
    <t>Henderson</t>
  </si>
  <si>
    <t>Brian</t>
  </si>
  <si>
    <t>Munro</t>
  </si>
  <si>
    <t>DE</t>
  </si>
  <si>
    <t>George</t>
  </si>
  <si>
    <t>Hughes</t>
  </si>
  <si>
    <t>Edward</t>
  </si>
  <si>
    <t>King</t>
  </si>
  <si>
    <t>Eric</t>
  </si>
  <si>
    <t>Diane</t>
  </si>
  <si>
    <t>Wood</t>
  </si>
  <si>
    <t>Joan</t>
  </si>
  <si>
    <t>Madison</t>
  </si>
  <si>
    <t>Lohan</t>
  </si>
  <si>
    <t>Diana</t>
  </si>
  <si>
    <t>Torres</t>
  </si>
  <si>
    <t>Christina</t>
  </si>
  <si>
    <t>Fergusson</t>
  </si>
  <si>
    <t>Lori</t>
  </si>
  <si>
    <t>Campbell</t>
  </si>
  <si>
    <t>Joshua</t>
  </si>
  <si>
    <t>Reid</t>
  </si>
  <si>
    <t xml:space="preserve">     Jenna Silva</t>
  </si>
  <si>
    <t>Janet Murphy</t>
  </si>
  <si>
    <t>Janice Clark</t>
  </si>
  <si>
    <t>Charlotte Walker</t>
  </si>
  <si>
    <t>Natalie Robinson</t>
  </si>
  <si>
    <t>Doris Nguyen</t>
  </si>
  <si>
    <t>Keith Roberts</t>
  </si>
  <si>
    <t>Kelly Jones</t>
  </si>
  <si>
    <t>Kennedi Singh</t>
  </si>
  <si>
    <t>Joseph Mitchell</t>
  </si>
  <si>
    <t>Steven Simpson</t>
  </si>
  <si>
    <t>Kenneth Anderson</t>
  </si>
  <si>
    <t>Nicholas Gerrard</t>
  </si>
  <si>
    <t>Judith Lopez</t>
  </si>
  <si>
    <t>Hannah Garcia</t>
  </si>
  <si>
    <t>Marilyn Allen</t>
  </si>
  <si>
    <t>Brendan Walls</t>
  </si>
  <si>
    <t>Carolyn Muir</t>
  </si>
  <si>
    <t>Teresa Jarris</t>
  </si>
  <si>
    <t>Beverly Young</t>
  </si>
  <si>
    <t>Brittany Hill</t>
  </si>
  <si>
    <t>Christian Carter</t>
  </si>
  <si>
    <t>Gary Sinclair</t>
  </si>
  <si>
    <t>Ivan Hines</t>
  </si>
  <si>
    <t>Jonah Higgins</t>
  </si>
  <si>
    <t>Lucia Mckay</t>
  </si>
  <si>
    <t>Jaylynn Knapp</t>
  </si>
  <si>
    <t>Bryce Carpenter</t>
  </si>
  <si>
    <t>Michael Filson</t>
  </si>
  <si>
    <t>Thomas Clark</t>
  </si>
  <si>
    <t>Daniel Davidson</t>
  </si>
  <si>
    <t>Heather Stevenson</t>
  </si>
  <si>
    <t>Martha Lee</t>
  </si>
  <si>
    <t>Richard Ross</t>
  </si>
  <si>
    <t>Andrew Hamilton</t>
  </si>
  <si>
    <t>Catherine Sunderland</t>
  </si>
  <si>
    <t>Jacob William</t>
  </si>
  <si>
    <t>Victoria Prowse</t>
  </si>
  <si>
    <t>Ruth Milner</t>
  </si>
  <si>
    <t>Virginia Dunk</t>
  </si>
  <si>
    <t>Bruce Rich</t>
  </si>
  <si>
    <t>William Stewart</t>
  </si>
  <si>
    <t>Charles Gray</t>
  </si>
  <si>
    <t>Ronald Millar</t>
  </si>
  <si>
    <t>Lauren Webster</t>
  </si>
  <si>
    <t>Kayla Nelson</t>
  </si>
  <si>
    <t>Denzel Flores</t>
  </si>
  <si>
    <t>Bruno Cordova</t>
  </si>
  <si>
    <t>Gloria White</t>
  </si>
  <si>
    <t>Sara Perez</t>
  </si>
  <si>
    <t>Cheryl Davis</t>
  </si>
  <si>
    <t>Jacqueline Moore</t>
  </si>
  <si>
    <t>Jason Crawford</t>
  </si>
  <si>
    <t>Jeffrey Dickson</t>
  </si>
  <si>
    <t>Olivia Craig</t>
  </si>
  <si>
    <t>Julie Wright</t>
  </si>
  <si>
    <t>David Thomson</t>
  </si>
  <si>
    <t>Christopher Taylor</t>
  </si>
  <si>
    <t>Paul Murray</t>
  </si>
  <si>
    <t>Megan Miller</t>
  </si>
  <si>
    <t>Roger Turner</t>
  </si>
  <si>
    <t>Maria Kennedy</t>
  </si>
  <si>
    <t>Donald Kerr</t>
  </si>
  <si>
    <t>Rachel White</t>
  </si>
  <si>
    <t>Andrea Gonzalez</t>
  </si>
  <si>
    <t>Kylee Townsend</t>
  </si>
  <si>
    <t>Timothy Johnson</t>
  </si>
  <si>
    <t>Jonathan Burns</t>
  </si>
  <si>
    <t>Joyce Adams</t>
  </si>
  <si>
    <t>Theresa Lewsis</t>
  </si>
  <si>
    <t>Alexis Rivera</t>
  </si>
  <si>
    <t>Terry Evans</t>
  </si>
  <si>
    <t>John Brown</t>
  </si>
  <si>
    <t>Ryan Hill</t>
  </si>
  <si>
    <t>Nyla Novak</t>
  </si>
  <si>
    <t>Evelyn Martinez</t>
  </si>
  <si>
    <t>Bill Smith</t>
  </si>
  <si>
    <t>Jordan Boone</t>
  </si>
  <si>
    <t>Nora Rollins</t>
  </si>
  <si>
    <t>Steven Michael</t>
  </si>
  <si>
    <t>Josue Roach</t>
  </si>
  <si>
    <t>Harley Fritz</t>
  </si>
  <si>
    <t>Jaidyn Andersen</t>
  </si>
  <si>
    <t>Matthew McDonald</t>
  </si>
  <si>
    <t>Anthony Henderson</t>
  </si>
  <si>
    <t>Brian Munro</t>
  </si>
  <si>
    <t>George Hughes</t>
  </si>
  <si>
    <t>Edward King</t>
  </si>
  <si>
    <t>Eric Jones</t>
  </si>
  <si>
    <t>Diane Wood</t>
  </si>
  <si>
    <t>Joan Thomson</t>
  </si>
  <si>
    <t>Madison Lohan</t>
  </si>
  <si>
    <t>Diana Torres</t>
  </si>
  <si>
    <t>Christina Fergusson</t>
  </si>
  <si>
    <t>Lori Campbell</t>
  </si>
  <si>
    <t>Joshua Reid</t>
  </si>
  <si>
    <t>FRANCE</t>
  </si>
  <si>
    <t>ITALIA</t>
  </si>
  <si>
    <t>ENGLAND</t>
  </si>
  <si>
    <t>SPAIN</t>
  </si>
  <si>
    <t>UNITED NATION</t>
  </si>
  <si>
    <t>UNITED NATIONA</t>
  </si>
  <si>
    <t>JAPAN</t>
  </si>
  <si>
    <t>DENMARK</t>
  </si>
  <si>
    <t>Full_name</t>
  </si>
  <si>
    <t>age</t>
  </si>
  <si>
    <t>Payement_methode</t>
  </si>
  <si>
    <t>units</t>
  </si>
  <si>
    <t>Sales_persons</t>
  </si>
  <si>
    <t>Grand Total</t>
  </si>
  <si>
    <t>Sum of Revenue</t>
  </si>
  <si>
    <t>country</t>
  </si>
  <si>
    <t>full_name</t>
  </si>
  <si>
    <t xml:space="preserve"> Revenue</t>
  </si>
  <si>
    <t xml:space="preserve"> Reveue by country</t>
  </si>
  <si>
    <t xml:space="preserve"> Reveue by sale_persons</t>
  </si>
  <si>
    <t>sale_person</t>
  </si>
  <si>
    <t>ENGLANG</t>
  </si>
  <si>
    <t>UNITED STATED</t>
  </si>
  <si>
    <t>UNITED STATEDA</t>
  </si>
  <si>
    <t xml:space="preserve"> </t>
  </si>
  <si>
    <t>Average of Age</t>
  </si>
  <si>
    <t>total revenue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</si>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</sst>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_);_(&quot;$&quot;* \(#,##0\);_(&quot;$&quot;* &quot;-&quot;??_);_(@_)"/>
  </numFmts>
  <fonts count="3" x14ac:knownFonts="1">
    <font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12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2"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analysis_project.xlsx]resume of pivot table !PivotTable11</c:name>
    <c:fmtId val="2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 of pivot table '!$H$3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C25-4F8C-8700-86203DD7C7D8}"/>
              </c:ext>
            </c:extLst>
          </c:dPt>
          <c:dPt>
            <c:idx val="1"/>
            <c:invertIfNegative val="1"/>
            <c:bubble3D val="0"/>
            <c:spPr>
              <a:pattFill prst="narHorz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C25-4F8C-8700-86203DD7C7D8}"/>
              </c:ext>
            </c:extLst>
          </c:dPt>
          <c:dPt>
            <c:idx val="2"/>
            <c:invertIfNegative val="1"/>
            <c:bubble3D val="0"/>
            <c:spPr>
              <a:pattFill prst="narHorz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C25-4F8C-8700-86203DD7C7D8}"/>
              </c:ext>
            </c:extLst>
          </c:dPt>
          <c:dPt>
            <c:idx val="3"/>
            <c:invertIfNegative val="1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8C25-4F8C-8700-86203DD7C7D8}"/>
              </c:ext>
            </c:extLst>
          </c:dPt>
          <c:dPt>
            <c:idx val="4"/>
            <c:invertIfNegative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8C25-4F8C-8700-86203DD7C7D8}"/>
              </c:ext>
            </c:extLst>
          </c:dPt>
          <c:cat>
            <c:strRef>
              <c:f>'resume of pivot table '!$G$4:$G$9</c:f>
              <c:strCache>
                <c:ptCount val="5"/>
                <c:pt idx="0">
                  <c:v>Walter Muller</c:v>
                </c:pt>
                <c:pt idx="1">
                  <c:v>Tom Jackson</c:v>
                </c:pt>
                <c:pt idx="2">
                  <c:v>Remy Monet</c:v>
                </c:pt>
                <c:pt idx="3">
                  <c:v>Jenna Silva</c:v>
                </c:pt>
                <c:pt idx="4">
                  <c:v>Anna Perez</c:v>
                </c:pt>
              </c:strCache>
            </c:strRef>
          </c:cat>
          <c:val>
            <c:numRef>
              <c:f>'resume of pivot table '!$H$4:$H$9</c:f>
              <c:numCache>
                <c:formatCode>General</c:formatCode>
                <c:ptCount val="5"/>
                <c:pt idx="0">
                  <c:v>40900</c:v>
                </c:pt>
                <c:pt idx="1">
                  <c:v>166336</c:v>
                </c:pt>
                <c:pt idx="2">
                  <c:v>297258.8</c:v>
                </c:pt>
                <c:pt idx="3">
                  <c:v>225340</c:v>
                </c:pt>
                <c:pt idx="4">
                  <c:v>702524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25-4F8C-8700-86203DD7C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27214447"/>
        <c:axId val="1598743583"/>
      </c:barChart>
      <c:catAx>
        <c:axId val="1727214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8743583"/>
        <c:crosses val="autoZero"/>
        <c:auto val="1"/>
        <c:lblAlgn val="ctr"/>
        <c:lblOffset val="100"/>
        <c:noMultiLvlLbl val="0"/>
      </c:catAx>
      <c:valAx>
        <c:axId val="1598743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low"/>
        <c:crossAx val="172721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analysis_project.xlsx]resume of pivot table !PivotTable6</c:name>
    <c:fmtId val="11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642464246424642"/>
          <c:y val="0.25104695246427527"/>
          <c:w val="0.44707545622045763"/>
          <c:h val="0.61251286320487475"/>
        </c:manualLayout>
      </c:layout>
      <c:pieChart>
        <c:varyColors val="1"/>
        <c:ser>
          <c:idx val="0"/>
          <c:order val="0"/>
          <c:tx>
            <c:strRef>
              <c:f>'resume of pivot table '!$E$3</c:f>
              <c:strCache>
                <c:ptCount val="1"/>
                <c:pt idx="0">
                  <c:v>Total</c:v>
                </c:pt>
              </c:strCache>
            </c:strRef>
          </c:tx>
          <c:explosion val="9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F1-41AF-8D66-CACDEC7FC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F1-41AF-8D66-CACDEC7FC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F1-41AF-8D66-CACDEC7FC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F1-41AF-8D66-CACDEC7FCB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BF1-41AF-8D66-CACDEC7FCB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BF1-41AF-8D66-CACDEC7FCB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BF1-41AF-8D66-CACDEC7FCB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BF1-41AF-8D66-CACDEC7FCB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BF1-41AF-8D66-CACDEC7FCB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BF1-41AF-8D66-CACDEC7FCBD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'resume of pivot table '!$D$4:$D$14</c:f>
              <c:strCache>
                <c:ptCount val="10"/>
                <c:pt idx="0">
                  <c:v>Daniel Davidson</c:v>
                </c:pt>
                <c:pt idx="1">
                  <c:v>Janet Murphy</c:v>
                </c:pt>
                <c:pt idx="2">
                  <c:v>Doris Nguyen</c:v>
                </c:pt>
                <c:pt idx="3">
                  <c:v>Janice Clark</c:v>
                </c:pt>
                <c:pt idx="4">
                  <c:v>Judith Lopez</c:v>
                </c:pt>
                <c:pt idx="5">
                  <c:v>Marilyn Allen</c:v>
                </c:pt>
                <c:pt idx="6">
                  <c:v>Teresa Jarris</c:v>
                </c:pt>
                <c:pt idx="7">
                  <c:v>Brendan Walls</c:v>
                </c:pt>
                <c:pt idx="8">
                  <c:v>Jonah Higgins</c:v>
                </c:pt>
                <c:pt idx="9">
                  <c:v>Jacob William</c:v>
                </c:pt>
              </c:strCache>
            </c:strRef>
          </c:cat>
          <c:val>
            <c:numRef>
              <c:f>'resume of pivot table '!$E$4:$E$14</c:f>
              <c:numCache>
                <c:formatCode>General</c:formatCode>
                <c:ptCount val="10"/>
                <c:pt idx="0">
                  <c:v>48750</c:v>
                </c:pt>
                <c:pt idx="1">
                  <c:v>36400</c:v>
                </c:pt>
                <c:pt idx="2">
                  <c:v>33440</c:v>
                </c:pt>
                <c:pt idx="3">
                  <c:v>33440</c:v>
                </c:pt>
                <c:pt idx="4">
                  <c:v>32000</c:v>
                </c:pt>
                <c:pt idx="5">
                  <c:v>31839.999999999996</c:v>
                </c:pt>
                <c:pt idx="6">
                  <c:v>30400.000000000007</c:v>
                </c:pt>
                <c:pt idx="7">
                  <c:v>30400.000000000007</c:v>
                </c:pt>
                <c:pt idx="8">
                  <c:v>30000</c:v>
                </c:pt>
                <c:pt idx="9">
                  <c:v>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BF1-41AF-8D66-CACDEC7FCB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24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analysis_project.xlsx]resume of pivot table !PivotTable10</c:name>
    <c:fmtId val="10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7666912006369571E-3"/>
          <c:y val="0.20149081364829399"/>
          <c:w val="0.94597913874428763"/>
          <c:h val="0.54860976377952753"/>
        </c:manualLayout>
      </c:layout>
      <c:lineChart>
        <c:grouping val="stacked"/>
        <c:varyColors val="0"/>
        <c:ser>
          <c:idx val="0"/>
          <c:order val="0"/>
          <c:tx>
            <c:strRef>
              <c:f>'resume of pivot table '!$E$17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'resume of pivot table '!$D$18:$D$26</c:f>
              <c:strCache>
                <c:ptCount val="8"/>
                <c:pt idx="0">
                  <c:v>UNITED NATIONA</c:v>
                </c:pt>
                <c:pt idx="1">
                  <c:v>UNITED NATION</c:v>
                </c:pt>
                <c:pt idx="2">
                  <c:v>SPAIN</c:v>
                </c:pt>
                <c:pt idx="3">
                  <c:v>JAPAN</c:v>
                </c:pt>
                <c:pt idx="4">
                  <c:v>ITALIA</c:v>
                </c:pt>
                <c:pt idx="5">
                  <c:v>FRANCE</c:v>
                </c:pt>
                <c:pt idx="6">
                  <c:v>ENGLAND</c:v>
                </c:pt>
                <c:pt idx="7">
                  <c:v>DENMARK</c:v>
                </c:pt>
              </c:strCache>
            </c:strRef>
          </c:cat>
          <c:val>
            <c:numRef>
              <c:f>'resume of pivot table '!$E$18:$E$26</c:f>
              <c:numCache>
                <c:formatCode>General</c:formatCode>
                <c:ptCount val="8"/>
                <c:pt idx="0">
                  <c:v>93020</c:v>
                </c:pt>
                <c:pt idx="1">
                  <c:v>218060</c:v>
                </c:pt>
                <c:pt idx="2">
                  <c:v>224106</c:v>
                </c:pt>
                <c:pt idx="3">
                  <c:v>221566</c:v>
                </c:pt>
                <c:pt idx="4">
                  <c:v>273392.8</c:v>
                </c:pt>
                <c:pt idx="5">
                  <c:v>309564</c:v>
                </c:pt>
                <c:pt idx="6">
                  <c:v>88900</c:v>
                </c:pt>
                <c:pt idx="7">
                  <c:v>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E-4970-A179-13D2C672EB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1239359"/>
        <c:axId val="1985887327"/>
      </c:lineChart>
      <c:catAx>
        <c:axId val="12312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>
            <a:glow>
              <a:schemeClr val="bg1"/>
            </a:glow>
            <a:outerShdw sx="1000" sy="1000" algn="ctr" rotWithShape="0">
              <a:srgbClr val="000000">
                <a:alpha val="43137"/>
              </a:srgbClr>
            </a:outerShdw>
            <a:softEdge rad="12700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5887327"/>
        <c:crosses val="autoZero"/>
        <c:auto val="0"/>
        <c:lblAlgn val="ctr"/>
        <c:lblOffset val="100"/>
        <c:noMultiLvlLbl val="0"/>
      </c:catAx>
      <c:valAx>
        <c:axId val="1985887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1239359"/>
        <c:crosses val="autoZero"/>
        <c:crossBetween val="midCat"/>
      </c:valAx>
      <c:spPr>
        <a:noFill/>
        <a:ln w="25400">
          <a:noFill/>
        </a:ln>
        <a:effectLst>
          <a:outerShdw blurRad="63500" sx="102000" sy="102000" algn="ctr" rotWithShape="0">
            <a:schemeClr val="bg2">
              <a:lumMod val="75000"/>
              <a:alpha val="40000"/>
            </a:schemeClr>
          </a:outerShdw>
        </a:effectLst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TOP</a:t>
            </a:r>
            <a:r>
              <a:rPr lang="en-US" sz="1200" baseline="0"/>
              <a:t> 5</a:t>
            </a:r>
            <a:r>
              <a:rPr lang="en-US" sz="1200"/>
              <a:t>Price</a:t>
            </a:r>
          </a:p>
        </c:rich>
      </c:tx>
      <c:layout>
        <c:manualLayout>
          <c:xMode val="edge"/>
          <c:yMode val="edge"/>
          <c:x val="0.3355400163500600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651552466476691"/>
          <c:y val="0.2619753814195685"/>
          <c:w val="0.46048915918072147"/>
          <c:h val="0.7257473175140281"/>
        </c:manualLayout>
      </c:layout>
      <c:doughnutChart>
        <c:varyColors val="1"/>
        <c:ser>
          <c:idx val="0"/>
          <c:order val="0"/>
          <c:tx>
            <c:strRef>
              <c:f>'CLEANED DATA'!$H$1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458-4E1E-8ACC-CC72B7258B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458-4E1E-8ACC-CC72B7258B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458-4E1E-8ACC-CC72B7258B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458-4E1E-8ACC-CC72B7258B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458-4E1E-8ACC-CC72B7258BC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'CLEANED DATA'!$H$2:$H$6</c:f>
              <c:numCache>
                <c:formatCode>General</c:formatCode>
                <c:ptCount val="5"/>
                <c:pt idx="0">
                  <c:v>400</c:v>
                </c:pt>
                <c:pt idx="1">
                  <c:v>400</c:v>
                </c:pt>
                <c:pt idx="2">
                  <c:v>320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458-4E1E-8ACC-CC72B7258B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235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72222222222223"/>
          <c:y val="0.17282954214056573"/>
          <c:w val="0.81388888888888888"/>
          <c:h val="0.65721128608923884"/>
        </c:manualLayout>
      </c:layout>
      <c:pie3DChart>
        <c:varyColors val="1"/>
        <c:ser>
          <c:idx val="0"/>
          <c:order val="0"/>
          <c:explosion val="2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155-4AAE-8813-5FA38C5D5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155-4AAE-8813-5FA38C5D5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155-4AAE-8813-5FA38C5D5DA0}"/>
              </c:ext>
            </c:extLst>
          </c:dPt>
          <c:dPt>
            <c:idx val="3"/>
            <c:bubble3D val="0"/>
            <c:explosion val="51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155-4AAE-8813-5FA38C5D5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155-4AAE-8813-5FA38C5D5D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155-4AAE-8813-5FA38C5D5D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155-4AAE-8813-5FA38C5D5DA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155-4AAE-8813-5FA38C5D5DA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155-4AAE-8813-5FA38C5D5DA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155-4AAE-8813-5FA38C5D5DA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'filter with age'!$F$4:$F$8</c:f>
              <c:strCache>
                <c:ptCount val="5"/>
                <c:pt idx="0">
                  <c:v>Christian Carter</c:v>
                </c:pt>
                <c:pt idx="1">
                  <c:v>Bryce Carpenter</c:v>
                </c:pt>
                <c:pt idx="2">
                  <c:v>Heather Stevenson</c:v>
                </c:pt>
                <c:pt idx="3">
                  <c:v>Daniel Davidson</c:v>
                </c:pt>
                <c:pt idx="4">
                  <c:v>Thomas Clark</c:v>
                </c:pt>
              </c:strCache>
            </c:strRef>
          </c:cat>
          <c:val>
            <c:numRef>
              <c:f>'filter with age'!$G$4:$G$8</c:f>
              <c:numCache>
                <c:formatCode>General</c:formatCode>
                <c:ptCount val="5"/>
                <c:pt idx="0">
                  <c:v>68</c:v>
                </c:pt>
                <c:pt idx="1">
                  <c:v>67</c:v>
                </c:pt>
                <c:pt idx="2">
                  <c:v>67</c:v>
                </c:pt>
                <c:pt idx="3">
                  <c:v>64.5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55-4AAE-8813-5FA38C5D5DA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distribution</a:t>
            </a:r>
            <a:r>
              <a:rPr lang="fr-FR" b="1" baseline="0"/>
              <a:t> de la moyenne d'age selon l'employés les plus agés</a:t>
            </a:r>
            <a:endParaRPr lang="fr-FR" b="1"/>
          </a:p>
        </c:rich>
      </c:tx>
      <c:layout>
        <c:manualLayout>
          <c:xMode val="edge"/>
          <c:yMode val="edge"/>
          <c:x val="0.1524096675415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F2D-4328-B90D-375E4330739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F2D-4328-B90D-375E4330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F2D-4328-B90D-375E4330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F2D-4328-B90D-375E4330739F}"/>
              </c:ext>
            </c:extLst>
          </c:dPt>
          <c:cat>
            <c:strRef>
              <c:f>'filter with age'!$F$4:$F$8</c:f>
              <c:strCache>
                <c:ptCount val="5"/>
                <c:pt idx="0">
                  <c:v>Christian Carter</c:v>
                </c:pt>
                <c:pt idx="1">
                  <c:v>Bryce Carpenter</c:v>
                </c:pt>
                <c:pt idx="2">
                  <c:v>Heather Stevenson</c:v>
                </c:pt>
                <c:pt idx="3">
                  <c:v>Daniel Davidson</c:v>
                </c:pt>
                <c:pt idx="4">
                  <c:v>Thomas Clark</c:v>
                </c:pt>
              </c:strCache>
            </c:strRef>
          </c:cat>
          <c:val>
            <c:numRef>
              <c:f>'filter with age'!$G$4:$G$8</c:f>
              <c:numCache>
                <c:formatCode>General</c:formatCode>
                <c:ptCount val="5"/>
                <c:pt idx="0">
                  <c:v>68</c:v>
                </c:pt>
                <c:pt idx="1">
                  <c:v>67</c:v>
                </c:pt>
                <c:pt idx="2">
                  <c:v>67</c:v>
                </c:pt>
                <c:pt idx="3">
                  <c:v>64.5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2D-4328-B90D-375E4330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3389624"/>
        <c:axId val="753386344"/>
        <c:axId val="0"/>
      </c:bar3DChart>
      <c:catAx>
        <c:axId val="75338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386344"/>
        <c:crosses val="autoZero"/>
        <c:auto val="1"/>
        <c:lblAlgn val="ctr"/>
        <c:lblOffset val="100"/>
        <c:noMultiLvlLbl val="0"/>
      </c:catAx>
      <c:valAx>
        <c:axId val="753386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38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  <a:alpha val="0"/>
      </a:schemeClr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>
      <a:outerShdw blurRad="63500" sx="102000" sy="102000" algn="ctr" rotWithShape="0">
        <a:schemeClr val="accent1">
          <a:lumMod val="60000"/>
          <a:lumOff val="40000"/>
          <a:alpha val="40000"/>
        </a:scheme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0</xdr:row>
      <xdr:rowOff>85725</xdr:rowOff>
    </xdr:from>
    <xdr:to>
      <xdr:col>4</xdr:col>
      <xdr:colOff>1504950</xdr:colOff>
      <xdr:row>1</xdr:row>
      <xdr:rowOff>200025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225808-213D-4CDB-81FA-E0F5925DBF74}"/>
            </a:ext>
          </a:extLst>
        </xdr:cNvPr>
        <xdr:cNvSpPr/>
      </xdr:nvSpPr>
      <xdr:spPr>
        <a:xfrm>
          <a:off x="3762375" y="85725"/>
          <a:ext cx="293370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Top 10</a:t>
          </a:r>
          <a:r>
            <a:rPr lang="en-US" sz="1100" baseline="0"/>
            <a:t>   revenue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by name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0</xdr:row>
      <xdr:rowOff>104775</xdr:rowOff>
    </xdr:from>
    <xdr:to>
      <xdr:col>1</xdr:col>
      <xdr:colOff>1266825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0FF299-3C27-49D3-AFCB-C7F796A80C46}"/>
            </a:ext>
          </a:extLst>
        </xdr:cNvPr>
        <xdr:cNvSpPr/>
      </xdr:nvSpPr>
      <xdr:spPr>
        <a:xfrm>
          <a:off x="76200" y="104775"/>
          <a:ext cx="293370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Revenue by  name</a:t>
          </a:r>
          <a:endParaRPr lang="en-US" sz="1100"/>
        </a:p>
      </xdr:txBody>
    </xdr:sp>
    <xdr:clientData/>
  </xdr:twoCellAnchor>
  <xdr:twoCellAnchor>
    <xdr:from>
      <xdr:col>6</xdr:col>
      <xdr:colOff>47625</xdr:colOff>
      <xdr:row>0</xdr:row>
      <xdr:rowOff>85725</xdr:rowOff>
    </xdr:from>
    <xdr:to>
      <xdr:col>8</xdr:col>
      <xdr:colOff>9525</xdr:colOff>
      <xdr:row>1</xdr:row>
      <xdr:rowOff>200025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022DAE-AEB9-45C6-9C71-3FBFE5F0E5B6}"/>
            </a:ext>
          </a:extLst>
        </xdr:cNvPr>
        <xdr:cNvSpPr/>
      </xdr:nvSpPr>
      <xdr:spPr>
        <a:xfrm>
          <a:off x="7210425" y="85725"/>
          <a:ext cx="278130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Top 5</a:t>
          </a:r>
          <a:r>
            <a:rPr lang="en-US" sz="1100" baseline="0"/>
            <a:t> sales </a:t>
          </a:r>
          <a:endParaRPr lang="en-US" sz="1100"/>
        </a:p>
      </xdr:txBody>
    </xdr:sp>
    <xdr:clientData/>
  </xdr:twoCellAnchor>
  <xdr:twoCellAnchor>
    <xdr:from>
      <xdr:col>3</xdr:col>
      <xdr:colOff>0</xdr:colOff>
      <xdr:row>14</xdr:row>
      <xdr:rowOff>114300</xdr:rowOff>
    </xdr:from>
    <xdr:to>
      <xdr:col>5</xdr:col>
      <xdr:colOff>9525</xdr:colOff>
      <xdr:row>16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4B6D808-CC96-441C-82DA-631BE82273C2}"/>
            </a:ext>
          </a:extLst>
        </xdr:cNvPr>
        <xdr:cNvSpPr/>
      </xdr:nvSpPr>
      <xdr:spPr>
        <a:xfrm>
          <a:off x="3781425" y="3181350"/>
          <a:ext cx="2933700" cy="3333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top 5 </a:t>
          </a:r>
          <a:r>
            <a:rPr lang="en-US" sz="1100"/>
            <a:t>revenue by country</a:t>
          </a:r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0</xdr:row>
      <xdr:rowOff>0</xdr:rowOff>
    </xdr:from>
    <xdr:to>
      <xdr:col>15</xdr:col>
      <xdr:colOff>495300</xdr:colOff>
      <xdr:row>11</xdr:row>
      <xdr:rowOff>180975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286FC7FC-43F6-43D1-9332-C2FCCE45B4CD}"/>
            </a:ext>
          </a:extLst>
        </xdr:cNvPr>
        <xdr:cNvSpPr/>
      </xdr:nvSpPr>
      <xdr:spPr>
        <a:xfrm>
          <a:off x="7200900" y="0"/>
          <a:ext cx="4724400" cy="2590800"/>
        </a:xfrm>
        <a:prstGeom prst="roundRect">
          <a:avLst/>
        </a:prstGeom>
        <a:noFill/>
        <a:ln>
          <a:solidFill>
            <a:schemeClr val="bg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  <a:reflection blurRad="6350" stA="50000" endA="300" endPos="55000" dir="5400000" sy="-100000" algn="bl" rotWithShape="0"/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714375</xdr:colOff>
      <xdr:row>13</xdr:row>
      <xdr:rowOff>152400</xdr:rowOff>
    </xdr:from>
    <xdr:to>
      <xdr:col>9</xdr:col>
      <xdr:colOff>342900</xdr:colOff>
      <xdr:row>25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6423290-E79A-4FBB-9C4A-27978F0D7E2D}"/>
            </a:ext>
          </a:extLst>
        </xdr:cNvPr>
        <xdr:cNvSpPr/>
      </xdr:nvSpPr>
      <xdr:spPr>
        <a:xfrm>
          <a:off x="3762375" y="3000375"/>
          <a:ext cx="3438525" cy="2590800"/>
        </a:xfrm>
        <a:prstGeom prst="roundRect">
          <a:avLst/>
        </a:prstGeom>
        <a:solidFill>
          <a:sysClr val="window" lastClr="FFFFFF"/>
        </a:solidFill>
        <a:ln>
          <a:solidFill>
            <a:schemeClr val="accent1">
              <a:shade val="50000"/>
              <a:hueMod val="94000"/>
            </a:schemeClr>
          </a:solidFill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390525</xdr:colOff>
      <xdr:row>35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F532573-8533-4508-9312-75F3D8FFD9C7}"/>
            </a:ext>
          </a:extLst>
        </xdr:cNvPr>
        <xdr:cNvSpPr/>
      </xdr:nvSpPr>
      <xdr:spPr>
        <a:xfrm>
          <a:off x="0" y="0"/>
          <a:ext cx="13344525" cy="7820025"/>
        </a:xfrm>
        <a:prstGeom prst="rect">
          <a:avLst/>
        </a:prstGeom>
        <a:solidFill>
          <a:srgbClr val="00B0F0"/>
        </a:solidFill>
        <a:ln>
          <a:solidFill>
            <a:schemeClr val="tx1">
              <a:lumMod val="65000"/>
              <a:lumOff val="35000"/>
            </a:schemeClr>
          </a:solidFill>
        </a:ln>
        <a:effectLst>
          <a:glow rad="127000">
            <a:schemeClr val="tx1">
              <a:lumMod val="85000"/>
              <a:lumOff val="15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contourClr>
            <a:schemeClr val="tx2">
              <a:lumMod val="50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213361</xdr:colOff>
      <xdr:row>13</xdr:row>
      <xdr:rowOff>0</xdr:rowOff>
    </xdr:from>
    <xdr:to>
      <xdr:col>15</xdr:col>
      <xdr:colOff>304801</xdr:colOff>
      <xdr:row>24</xdr:row>
      <xdr:rowOff>133349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C3A072F-A1E3-47FE-AF20-39678E8AAA8E}"/>
            </a:ext>
          </a:extLst>
        </xdr:cNvPr>
        <xdr:cNvSpPr/>
      </xdr:nvSpPr>
      <xdr:spPr>
        <a:xfrm>
          <a:off x="6797041" y="2476500"/>
          <a:ext cx="4480560" cy="2228849"/>
        </a:xfrm>
        <a:prstGeom prst="roundRect">
          <a:avLst/>
        </a:prstGeom>
        <a:solidFill>
          <a:schemeClr val="bg1">
            <a:alpha val="16000"/>
          </a:schemeClr>
        </a:solidFill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95251</xdr:colOff>
      <xdr:row>13</xdr:row>
      <xdr:rowOff>9525</xdr:rowOff>
    </xdr:from>
    <xdr:to>
      <xdr:col>4</xdr:col>
      <xdr:colOff>495301</xdr:colOff>
      <xdr:row>24</xdr:row>
      <xdr:rowOff>161925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078C38F-7001-4B1E-96B2-908DF4193AA7}"/>
            </a:ext>
          </a:extLst>
        </xdr:cNvPr>
        <xdr:cNvSpPr/>
      </xdr:nvSpPr>
      <xdr:spPr>
        <a:xfrm>
          <a:off x="95251" y="2857500"/>
          <a:ext cx="3448050" cy="2562225"/>
        </a:xfrm>
        <a:prstGeom prst="round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180975</xdr:colOff>
      <xdr:row>0</xdr:row>
      <xdr:rowOff>200026</xdr:rowOff>
    </xdr:from>
    <xdr:to>
      <xdr:col>4</xdr:col>
      <xdr:colOff>552450</xdr:colOff>
      <xdr:row>11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DD1C926-DF40-46EC-973B-713A2D40549C}"/>
            </a:ext>
          </a:extLst>
        </xdr:cNvPr>
        <xdr:cNvSpPr/>
      </xdr:nvSpPr>
      <xdr:spPr>
        <a:xfrm>
          <a:off x="180975" y="200026"/>
          <a:ext cx="3419475" cy="2324099"/>
        </a:xfrm>
        <a:prstGeom prst="roundRect">
          <a:avLst/>
        </a:prstGeom>
        <a:solidFill>
          <a:schemeClr val="bg1"/>
        </a:solidFill>
        <a:effectLst>
          <a:glow rad="127000">
            <a:schemeClr val="tx1">
              <a:lumMod val="75000"/>
              <a:lumOff val="25000"/>
            </a:schemeClr>
          </a:glo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428625</xdr:colOff>
      <xdr:row>2</xdr:row>
      <xdr:rowOff>9524</xdr:rowOff>
    </xdr:from>
    <xdr:to>
      <xdr:col>4</xdr:col>
      <xdr:colOff>447675</xdr:colOff>
      <xdr:row>10</xdr:row>
      <xdr:rowOff>152399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EBD275A-060E-4B31-8977-6383A9DD8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0</xdr:row>
      <xdr:rowOff>171451</xdr:rowOff>
    </xdr:from>
    <xdr:to>
      <xdr:col>9</xdr:col>
      <xdr:colOff>47625</xdr:colOff>
      <xdr:row>10</xdr:row>
      <xdr:rowOff>209551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3A6CDCF-7087-4316-B787-08ED63824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466725</xdr:colOff>
      <xdr:row>1</xdr:row>
      <xdr:rowOff>19049</xdr:rowOff>
    </xdr:from>
    <xdr:to>
      <xdr:col>15</xdr:col>
      <xdr:colOff>190500</xdr:colOff>
      <xdr:row>12</xdr:row>
      <xdr:rowOff>19049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8F81E4-0097-491F-8CCB-9F0C392DC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76201</xdr:colOff>
      <xdr:row>14</xdr:row>
      <xdr:rowOff>114300</xdr:rowOff>
    </xdr:from>
    <xdr:to>
      <xdr:col>8</xdr:col>
      <xdr:colOff>514350</xdr:colOff>
      <xdr:row>22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4FFB68-F5AF-490D-9A70-37B40E733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66675</xdr:colOff>
      <xdr:row>0</xdr:row>
      <xdr:rowOff>142875</xdr:rowOff>
    </xdr:from>
    <xdr:to>
      <xdr:col>9</xdr:col>
      <xdr:colOff>190500</xdr:colOff>
      <xdr:row>11</xdr:row>
      <xdr:rowOff>104775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0FAAECB-D1E1-4713-A895-881714219106}"/>
            </a:ext>
          </a:extLst>
        </xdr:cNvPr>
        <xdr:cNvSpPr/>
      </xdr:nvSpPr>
      <xdr:spPr>
        <a:xfrm>
          <a:off x="3876675" y="142875"/>
          <a:ext cx="3171825" cy="2371725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  <a:effectLst>
          <a:innerShdw blurRad="114300">
            <a:schemeClr val="accent1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666750</xdr:colOff>
      <xdr:row>13</xdr:row>
      <xdr:rowOff>19051</xdr:rowOff>
    </xdr:from>
    <xdr:to>
      <xdr:col>9</xdr:col>
      <xdr:colOff>104775</xdr:colOff>
      <xdr:row>24</xdr:row>
      <xdr:rowOff>200026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CE51760-0174-48E1-AF92-28C767EBFCBD}"/>
            </a:ext>
          </a:extLst>
        </xdr:cNvPr>
        <xdr:cNvSpPr/>
      </xdr:nvSpPr>
      <xdr:spPr>
        <a:xfrm>
          <a:off x="3714750" y="2867026"/>
          <a:ext cx="3248025" cy="2590800"/>
        </a:xfrm>
        <a:prstGeom prst="round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219074</xdr:colOff>
      <xdr:row>14</xdr:row>
      <xdr:rowOff>57149</xdr:rowOff>
    </xdr:from>
    <xdr:to>
      <xdr:col>4</xdr:col>
      <xdr:colOff>285749</xdr:colOff>
      <xdr:row>23</xdr:row>
      <xdr:rowOff>95249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B6F4A0-578A-4867-8075-060A12C90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352425</xdr:colOff>
      <xdr:row>13</xdr:row>
      <xdr:rowOff>123825</xdr:rowOff>
    </xdr:from>
    <xdr:to>
      <xdr:col>3</xdr:col>
      <xdr:colOff>9525</xdr:colOff>
      <xdr:row>14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73AC3E-190E-442B-9F71-32CE2F3BFBBD}"/>
            </a:ext>
          </a:extLst>
        </xdr:cNvPr>
        <xdr:cNvSpPr/>
      </xdr:nvSpPr>
      <xdr:spPr>
        <a:xfrm>
          <a:off x="1114425" y="2971800"/>
          <a:ext cx="1181100" cy="152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323850</xdr:colOff>
      <xdr:row>13</xdr:row>
      <xdr:rowOff>57151</xdr:rowOff>
    </xdr:from>
    <xdr:to>
      <xdr:col>3</xdr:col>
      <xdr:colOff>476251</xdr:colOff>
      <xdr:row>14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E7F24-8928-4025-AD24-1DED1D30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" y="2905126"/>
          <a:ext cx="1676401" cy="30480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9</xdr:col>
      <xdr:colOff>312420</xdr:colOff>
      <xdr:row>13</xdr:row>
      <xdr:rowOff>15240</xdr:rowOff>
    </xdr:from>
    <xdr:to>
      <xdr:col>15</xdr:col>
      <xdr:colOff>243841</xdr:colOff>
      <xdr:row>24</xdr:row>
      <xdr:rowOff>91440</xdr:rowOff>
    </xdr:to>
    <xdr:graphicFrame macro="">
      <xdr:nvGraphicFramePr>
        <xdr:cNvPr id="20" name="Graphique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0.37624</cdr:x>
      <cdr:y>0.51709</cdr:y>
    </cdr:from>
    <cdr:to>
      <cdr:x>0.58086</cdr:x>
      <cdr:y>0.63675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E6B686-EAAD-4BAA-BF41-9FA77967D55A}"/>
            </a:ext>
          </a:extLst>
        </cdr:cNvPr>
        <cdr:cNvSpPr txBox="1"/>
      </cdr:nvSpPr>
      <cdr:spPr>
        <a:xfrm xmlns:a="http://schemas.openxmlformats.org/drawingml/2006/main">
          <a:off x="1085850" y="1152524"/>
          <a:ext cx="5905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100%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94B77AEB-E46C-401F-A200-925B6A0E23A7}"/>
            </a:ext>
          </a:extLst>
        </cdr:cNvPr>
        <cdr:cNvSpPr/>
      </cdr:nvSpPr>
      <cdr:spPr>
        <a:xfrm xmlns:a="http://schemas.openxmlformats.org/drawingml/2006/main">
          <a:off x="523875" y="85725"/>
          <a:ext cx="3886200" cy="252412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accent2">
              <a:hueMod val="94000"/>
            </a:schemeClr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0.4021</cdr:x>
      <cdr:y>0.55615</cdr:y>
    </cdr:from>
    <cdr:to>
      <cdr:x>0.61888</cdr:x>
      <cdr:y>0.69519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3A1E3E1-9CB1-411F-A636-8E78C4EA1D3F}"/>
            </a:ext>
          </a:extLst>
        </cdr:cNvPr>
        <cdr:cNvSpPr txBox="1"/>
      </cdr:nvSpPr>
      <cdr:spPr>
        <a:xfrm xmlns:a="http://schemas.openxmlformats.org/drawingml/2006/main">
          <a:off x="1095374" y="990600"/>
          <a:ext cx="5905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100%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1257300</xdr:colOff>
      <xdr:row>1</xdr:row>
      <xdr:rowOff>352426</xdr:rowOff>
    </xdr:from>
    <xdr:to>
      <xdr:col>15</xdr:col>
      <xdr:colOff>304800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FAEB7B-7D6D-4AA6-85D6-1E2E5ADF5EB3}"/>
            </a:ext>
          </a:extLst>
        </xdr:cNvPr>
        <xdr:cNvSpPr/>
      </xdr:nvSpPr>
      <xdr:spPr>
        <a:xfrm>
          <a:off x="11791950" y="571501"/>
          <a:ext cx="2600325" cy="4667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sumif : find out the total revenue of france</a:t>
          </a:r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19</xdr:col>
      <xdr:colOff>314325</xdr:colOff>
      <xdr:row>4</xdr:row>
      <xdr:rowOff>28574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E08029-CB1D-4B14-8012-697DA5ADB7CA}"/>
            </a:ext>
          </a:extLst>
        </xdr:cNvPr>
        <xdr:cNvSpPr/>
      </xdr:nvSpPr>
      <xdr:spPr>
        <a:xfrm>
          <a:off x="14849475" y="600075"/>
          <a:ext cx="2600325" cy="4667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countif: find out how</a:t>
          </a:r>
          <a:r>
            <a:rPr lang="en-US" sz="1100" baseline="0"/>
            <a:t> many time </a:t>
          </a:r>
          <a:r>
            <a:rPr lang="en-US" sz="1100"/>
            <a:t>  france figure in the table</a:t>
          </a:r>
        </a:p>
      </xdr:txBody>
    </xdr:sp>
    <xdr:clientData/>
  </xdr:twoCellAnchor>
  <xdr:twoCellAnchor>
    <xdr:from>
      <xdr:col>12</xdr:col>
      <xdr:colOff>47625</xdr:colOff>
      <xdr:row>7</xdr:row>
      <xdr:rowOff>200025</xdr:rowOff>
    </xdr:from>
    <xdr:to>
      <xdr:col>15</xdr:col>
      <xdr:colOff>361950</xdr:colOff>
      <xdr:row>10</xdr:row>
      <xdr:rowOff>9524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85BB52-A171-4B1C-8DD7-A6CEA8DBC837}"/>
            </a:ext>
          </a:extLst>
        </xdr:cNvPr>
        <xdr:cNvSpPr/>
      </xdr:nvSpPr>
      <xdr:spPr>
        <a:xfrm>
          <a:off x="11849100" y="1895475"/>
          <a:ext cx="2600325" cy="4667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countifs: find out the total  of female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85725</xdr:rowOff>
    </xdr:from>
    <xdr:to>
      <xdr:col>13</xdr:col>
      <xdr:colOff>76200</xdr:colOff>
      <xdr:row>30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374613-31CC-42F1-86B1-1AAF73F8BE31}"/>
            </a:ext>
          </a:extLst>
        </xdr:cNvPr>
        <xdr:cNvSpPr/>
      </xdr:nvSpPr>
      <xdr:spPr>
        <a:xfrm>
          <a:off x="2343150" y="523875"/>
          <a:ext cx="7639050" cy="61722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0</xdr:row>
      <xdr:rowOff>0</xdr:rowOff>
    </xdr:from>
    <xdr:to>
      <xdr:col>17</xdr:col>
      <xdr:colOff>57149</xdr:colOff>
      <xdr:row>50</xdr:row>
      <xdr:rowOff>200025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6CE46F94-FFD1-4C1F-857B-FB4066D37B28}"/>
            </a:ext>
          </a:extLst>
        </xdr:cNvPr>
        <xdr:cNvSpPr txBox="1">
          <a:spLocks noChangeArrowheads="1"/>
        </xdr:cNvSpPr>
      </xdr:nvSpPr>
      <xdr:spPr bwMode="auto">
        <a:xfrm>
          <a:off x="19050" y="0"/>
          <a:ext cx="12992099" cy="11153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r>
            <a:rPr lang="en-US" sz="1200" b="0" i="0" u="none" strike="noStrike" baseline="0">
              <a:solidFill>
                <a:srgbClr val="000000"/>
              </a:solidFill>
              <a:latin typeface="Century Gothic"/>
            </a:rPr>
            <a:t>. </a:t>
          </a: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SQL Statements to Backup and Restore a Database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. SQL Statements to Backup and Restore a Database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Backup:</a:t>
          </a:r>
          <a:endParaRPr lang="en-US" sz="1100" b="0" i="0">
            <a:effectLst/>
            <a:latin typeface="+mn-lt"/>
            <a:ea typeface="+mn-ea"/>
            <a:cs typeface="+mn-cs"/>
          </a:endParaRPr>
        </a:p>
        <a:p>
          <a:pPr fontAlgn="ctr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sqlCopy</a:t>
          </a:r>
        </a:p>
        <a:p>
          <a:pPr latinLnBrk="0"/>
          <a:r>
            <a:rPr lang="en-US" sz="1100" b="0" i="0">
              <a:effectLst/>
              <a:latin typeface="+mn-lt"/>
              <a:ea typeface="+mn-ea"/>
              <a:cs typeface="+mn-cs"/>
            </a:rPr>
            <a:t>-- For MySQL mysqldump -u username -p database_name &gt; backup_file.sql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Restore:</a:t>
          </a:r>
          <a:endParaRPr lang="en-US" sz="1100" b="0" i="0">
            <a:effectLst/>
            <a:latin typeface="+mn-lt"/>
            <a:ea typeface="+mn-ea"/>
            <a:cs typeface="+mn-cs"/>
          </a:endParaRPr>
        </a:p>
        <a:p>
          <a:pPr fontAlgn="ctr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sqlCopy</a:t>
          </a:r>
        </a:p>
        <a:p>
          <a:pPr latinLnBrk="0"/>
          <a:r>
            <a:rPr lang="en-US" sz="1100" b="0" i="0">
              <a:effectLst/>
              <a:latin typeface="+mn-lt"/>
              <a:ea typeface="+mn-ea"/>
              <a:cs typeface="+mn-cs"/>
            </a:rPr>
            <a:t>-- For MySQL mysql -u username -p database_name &lt; backup_file.sql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b. Difference between CHAR and VARCHAR Datatypes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CHAR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Fixed-length data type.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If the data stored is shorter than the defined length, it is padded with spaces.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Suitable for storing data that is consistently the same length (e.g., country codes).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VARCHAR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Variable-length data type.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Only uses as much space as needed for the data, plus one or two bytes for length information.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More efficient for storing data of varying lengths (e.g., names, addresses).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c. Create an ERD with 6 Related Tables</a:t>
          </a:r>
        </a:p>
        <a:p>
          <a:r>
            <a:rPr lang="en-US" sz="1100" b="0" i="0">
              <a:effectLst/>
              <a:latin typeface="+mn-lt"/>
              <a:ea typeface="+mn-ea"/>
              <a:cs typeface="+mn-cs"/>
            </a:rPr>
            <a:t>Here’s a simple description of an ERD with 6 related tables: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Customer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CustomerID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Name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Email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Order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OrderID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OrderDate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CustomerID (FK)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Product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ProductID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ProductName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Price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OrderDetails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OrderDetailID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OrderID (FK)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ProductID (FK)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Quantity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Supplier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SupplierID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SupplierName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ContactInfo</a:t>
          </a:r>
        </a:p>
        <a:p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Inventory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InventoryID (PK)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ProductID (FK)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SupplierID (FK)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StockQuantity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d. Difference between SQL and MySQL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SQL (Structured Query Language)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A standard programming language used for managing and manipulating relational databases.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It is used to perform tasks such as querying data, updating records, and creating schemas.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MySQL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An open-source relational database management system (RDBMS) that uses SQL as its query language.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It is one of the most popular databases for web applications and is known for its speed and reliability.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e. Why are Triggers Created in a Database?Triggers are created in a database to:</a:t>
          </a:r>
        </a:p>
        <a:p>
          <a:pPr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Automatically execute a specified action in response to certain events on a particular table or view (e.g., INSERT, UPDATE, DELETE).</a:t>
          </a:r>
        </a:p>
        <a:p>
          <a:pPr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Enforce business rules and data integrity.</a:t>
          </a:r>
        </a:p>
        <a:p>
          <a:pPr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Maintain audit trails by logging changes to data.</a:t>
          </a:r>
        </a:p>
        <a:p>
          <a:pPr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Perform complex validations that cannot be enforced through constraints.</a:t>
          </a:r>
        </a:p>
        <a:p>
          <a:r>
            <a:rPr lang="en-US" sz="1100" b="1" i="0">
              <a:effectLst/>
              <a:latin typeface="+mn-lt"/>
              <a:ea typeface="+mn-ea"/>
              <a:cs typeface="+mn-cs"/>
            </a:rPr>
            <a:t>f. Difference between a Primary Key and a Foreign Key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Primary Key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A unique identifier for each record in a table.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Ensures that no two rows have the same value in the primary key column(s).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Cannot contain NULL values.</a:t>
          </a:r>
        </a:p>
        <a:p>
          <a:pPr latinLnBrk="1"/>
          <a:r>
            <a:rPr lang="en-US" sz="1100" b="1" i="0" u="none" strike="noStrike">
              <a:effectLst/>
              <a:latin typeface="+mn-lt"/>
              <a:ea typeface="+mn-ea"/>
              <a:cs typeface="+mn-cs"/>
            </a:rPr>
            <a:t>Foreign Key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: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A field (or collection of fields) in one table that uniquely identifies a row of another table.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Establishes a relationship between the two tables.</a:t>
          </a:r>
        </a:p>
        <a:p>
          <a:pPr lvl="1" latinLnBrk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Can contain NULL values and does not have to be unique.</a:t>
          </a:r>
        </a:p>
        <a:p>
          <a:r>
            <a:rPr lang="en-US" sz="1100" b="0" i="0">
              <a:effectLst/>
              <a:latin typeface="+mn-lt"/>
              <a:ea typeface="+mn-ea"/>
              <a:cs typeface="+mn-cs"/>
            </a:rPr>
            <a:t>If you have any further questions or need more details, feel free to ask!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Backup: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-- For MySQL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mysqldump -u username -p database_name &gt; backup_file.sql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Restore: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-- For MySQL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mysql -u username -p database_name &lt; backup_file.sql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b. Difference between CHAR and VARCHAR Datatypes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CHAR: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Fixed-length data type.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If the data stored is shorter than the defined length, it is padded with spaces.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Suitable for storing data that is consistently the same length (e.g., country codes).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VARCHAR: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Variable-length data type.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Only uses as much space as needed for the data, plus one or two bytes for length information.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More efficient for storing data of varying lengths (e.g., names, addresses).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c. Create an ERD with 6 Related Tables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Here’s a simple description of an ERD with 6 related tables: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Customer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CustomerID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Name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Email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OrderDate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CustomerID (FK)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Product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ProductID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ProductName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Price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OrderDetails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OrderDetailID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OrderID (FK)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ProductID (FK)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Quantity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Supplier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SupplierID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SupplierName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ContactInfo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Inventory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InventoryID (PK)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ProductID (FK)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SupplierID (FK)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StockQuantity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d. Difference between SQL and MySQL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SQL (Structured Query Language):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A standard programming language used for managing and manipulating relational databases.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It is used to perform tasks such as querying data, updating records, and creating schemas.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MySQL: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An open-source relational database management system (RDBMS) that uses SQL as its query language.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It is one of the most popular databases for web applications and is known for its speed and reliability.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e. Why are Triggers Created in a Database?Triggers are created in a database to: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Automatically execute a specified action in response to certain events on a particular table or view (e.g., INSERT, UPDATE, DELETE).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Enforce business rules and data integrity.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Maintain audit trails by logging changes to data.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Perform complex validations that cannot be enforced through constraints.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f. Difference between a Primary Key and a Foreign Key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Primary Key: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A unique identifier for each record in a table.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Ensures that no two rows have the same value in the primary key column(s).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Cannot contain NULL values.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Foreign Key: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chemeClr val="bg1"/>
            </a:solidFill>
            <a:latin typeface="Century Gothic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A field (or collection of fields) in one table that uniquely identifies a row of another table.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Establishes a relationship between the two tables.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Can contain NULL values and does not have to be unique.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bg1"/>
              </a:solidFill>
              <a:latin typeface="Century Gothic"/>
            </a:rPr>
            <a:t>If you have any further questions or need more details, feel free to ask!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ylvestre%20data%20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ylvester" refreshedDate="45498.965865509257" createdVersion="6" refreshedVersion="6" minRefreshableVersion="3" recordCount="98">
  <cacheSource type="worksheet">
    <worksheetSource ref="A1:J99" sheet="pivot table" r:id="rId2"/>
  </cacheSource>
  <cacheFields count="10">
    <cacheField name="Order ID" numFmtId="0">
      <sharedItems containsString="0" containsBlank="1" containsNumber="1" containsInteger="1" minValue="10452" maxValue="10549" count="92">
        <n v="10507"/>
        <n v="10534"/>
        <n v="10537"/>
        <n v="10538"/>
        <n v="10542"/>
        <n v="10547"/>
        <n v="10485"/>
        <n v="10453"/>
        <n v="10477"/>
        <n v="10486"/>
        <n v="10490"/>
        <n v="10502"/>
        <n v="10523"/>
        <n v="10525"/>
        <n v="10535"/>
        <n v="10461"/>
        <n v="10506"/>
        <n v="10531"/>
        <n v="10536"/>
        <n v="10541"/>
        <n v="10546"/>
        <n v="10501"/>
        <n v="10456"/>
        <n v="10457"/>
        <n v="10463"/>
        <n v="10468"/>
        <n v="10470"/>
        <n v="10473"/>
        <n v="10478"/>
        <n v="10481"/>
        <n v="10510"/>
        <n v="10529"/>
        <n v="10476"/>
        <n v="10487"/>
        <n v="10509"/>
        <n v="10500"/>
        <n v="10515"/>
        <n v="10516"/>
        <n v="10483"/>
        <n v="10475"/>
        <n v="10480"/>
        <n v="10495"/>
        <n v="10484"/>
        <n v="10543"/>
        <n v="10466"/>
        <n v="10467"/>
        <n v="10532"/>
        <n v="10533"/>
        <n v="10527"/>
        <n v="10528"/>
        <n v="10496"/>
        <n v="10498"/>
        <n v="10512"/>
        <n v="10513"/>
        <n v="10474"/>
        <n v="10479"/>
        <n v="10488"/>
        <n v="10526"/>
        <n v="10548"/>
        <n v="10508"/>
        <n v="10505"/>
        <n v="10524"/>
        <n v="10459"/>
        <n v="10494"/>
        <n v="10504"/>
        <n v="10514"/>
        <n v="10539"/>
        <n v="10544"/>
        <n v="10549"/>
        <n v="10472"/>
        <n v="10499"/>
        <n v="10455"/>
        <n v="10522"/>
        <n v="10452"/>
        <n v="10460"/>
        <n v="10462"/>
        <n v="10464"/>
        <n v="10454"/>
        <n v="10471"/>
        <n v="10482"/>
        <n v="10492"/>
        <n v="10493"/>
        <n v="10497"/>
        <n v="10503"/>
        <n v="10511"/>
        <n v="10521"/>
        <n v="10530"/>
        <n v="10540"/>
        <n v="10520"/>
        <n v="10545"/>
        <n v="10489"/>
        <m/>
      </sharedItems>
    </cacheField>
    <cacheField name="Date" numFmtId="14">
      <sharedItems containsSemiMixedTypes="0" containsNonDate="0" containsDate="1" containsString="0" minDate="2023-06-07T00:00:00" maxDate="2023-06-27T00:00:00"/>
    </cacheField>
    <cacheField name="Full_name" numFmtId="0">
      <sharedItems count="95">
        <s v="Janet Murphy"/>
        <s v="Janice Clark"/>
        <s v="Charlotte Walker"/>
        <s v="Natalie Robinson"/>
        <s v="Doris Nguyen"/>
        <s v="Keith Roberts"/>
        <s v="Kelly Jones"/>
        <s v="Kennedi Singh"/>
        <s v="Joseph Mitchell"/>
        <s v="Steven Simpson"/>
        <s v="Kenneth Anderson"/>
        <s v="Nicholas Gerrard"/>
        <s v="Judith Lopez"/>
        <s v="Hannah Garcia"/>
        <s v="Marilyn Allen"/>
        <s v="Brendan Walls"/>
        <s v="Carolyn Muir"/>
        <s v="Teresa Jarris"/>
        <s v="Beverly Young"/>
        <s v="Brittany Hill"/>
        <s v="Christian Carter"/>
        <s v="Gary Sinclair"/>
        <s v="Ivan Hines"/>
        <s v="Jonah Higgins"/>
        <s v="Lucia Mckay"/>
        <s v="Jaylynn Knapp"/>
        <s v="Bryce Carpenter"/>
        <s v="Michael Filson"/>
        <s v="Thomas Clark"/>
        <s v="Daniel Davidson"/>
        <s v="Heather Stevenson"/>
        <s v="Martha Lee"/>
        <s v="Richard Ross"/>
        <s v="Andrew Hamilton"/>
        <s v="Catherine Sunderland"/>
        <s v="Jacob William"/>
        <s v="Victoria Prowse"/>
        <s v="Ruth Milner"/>
        <s v="Virginia Dunk"/>
        <s v="Bruce Rich"/>
        <s v="William Stewart"/>
        <s v="Charles Gray"/>
        <s v="Ronald Millar"/>
        <s v="Lauren Webster"/>
        <s v="Kayla Nelson"/>
        <s v="Denzel Flores"/>
        <s v="Bruno Cordova"/>
        <s v="Gloria White"/>
        <s v="Sara Perez"/>
        <s v="Cheryl Davis"/>
        <s v="Jacqueline Moore"/>
        <s v="Jason Crawford"/>
        <s v="Jeffrey Dickson"/>
        <s v="Olivia Craig"/>
        <s v="Julie Wright"/>
        <s v="David Thomson"/>
        <s v="Christopher Taylor"/>
        <s v="Paul Murray"/>
        <s v="Megan Miller"/>
        <s v="Roger Turner"/>
        <s v="Maria Kennedy"/>
        <s v="Donald Kerr"/>
        <s v="Rachel White"/>
        <s v="Andrea Gonzalez"/>
        <s v="Kylee Townsend"/>
        <s v="Timothy Johnson"/>
        <s v="Jonathan Burns"/>
        <s v="Joyce Adams"/>
        <s v="Theresa Lewsis"/>
        <s v="Alexis Rivera"/>
        <s v="Terry Evans"/>
        <s v="John Brown"/>
        <s v="Ryan Hill"/>
        <s v="Nyla Novak"/>
        <s v="Evelyn Martinez"/>
        <s v="Bill Smith"/>
        <s v="Jordan Boone"/>
        <s v="Nora Rollins"/>
        <s v="Steven Michael"/>
        <s v="Josue Roach"/>
        <s v="Harley Fritz"/>
        <s v="Jaidyn Andersen"/>
        <s v="Matthew McDonald"/>
        <s v="Anthony Henderson"/>
        <s v="Brian Munro"/>
        <s v="George Hughes"/>
        <s v="Edward King"/>
        <s v="Eric Jones"/>
        <s v="Diane Wood"/>
        <s v="Joan Thomson"/>
        <s v="Madison Lohan"/>
        <s v="Diana Torres"/>
        <s v="Christina Fergusson"/>
        <s v="Lori Campbell"/>
        <s v="Joshua Reid"/>
      </sharedItems>
    </cacheField>
    <cacheField name="Last" numFmtId="0">
      <sharedItems/>
    </cacheField>
    <cacheField name="age" numFmtId="0">
      <sharedItems containsSemiMixedTypes="0" containsString="0" containsNumber="1" containsInteger="1" minValue="20" maxValue="68"/>
    </cacheField>
    <cacheField name="Gender" numFmtId="0">
      <sharedItems count="8">
        <s v="FRANCE"/>
        <s v="ITALIA"/>
        <s v="ENGLAND"/>
        <s v="JAPAN"/>
        <s v="SPAIN"/>
        <s v="UNITED NATION"/>
        <s v="UNITED NATIONA"/>
        <s v="DENMARK"/>
      </sharedItems>
    </cacheField>
    <cacheField name="units" numFmtId="164">
      <sharedItems containsSemiMixedTypes="0" containsString="0" containsNumber="1" minValue="10" maxValue="91"/>
    </cacheField>
    <cacheField name="Revenue" numFmtId="164">
      <sharedItems containsSemiMixedTypes="0" containsString="0" containsNumber="1" minValue="2250" maxValue="36400" count="60">
        <n v="36400"/>
        <n v="33440"/>
        <n v="26752"/>
        <n v="20900"/>
        <n v="26240"/>
        <n v="20000"/>
        <n v="12000"/>
        <n v="25600"/>
        <n v="32000"/>
        <n v="25536"/>
        <n v="31839.999999999996"/>
        <n v="30400.000000000007"/>
        <n v="11400.000000000002"/>
        <n v="24320.000000000004"/>
        <n v="24320"/>
        <n v="24000"/>
        <n v="30000"/>
        <n v="11250"/>
        <n v="18750"/>
        <n v="23673.600000000002"/>
        <n v="17500"/>
        <n v="22400"/>
        <n v="26800"/>
        <n v="9450"/>
        <n v="20160"/>
        <n v="19200"/>
        <n v="15000"/>
        <n v="9000"/>
        <n v="23920"/>
        <n v="12500"/>
        <n v="18240"/>
        <n v="18000"/>
        <n v="6750"/>
        <n v="6600"/>
        <n v="13760"/>
        <n v="10500"/>
        <n v="6000"/>
        <n v="10000"/>
        <n v="15919.999999999998"/>
        <n v="5970"/>
        <n v="5850"/>
        <n v="15200"/>
        <n v="9500"/>
        <n v="5700"/>
        <n v="5699.9999999999991"/>
        <n v="12159.999999999998"/>
        <n v="15199.999999999996"/>
        <n v="11200"/>
        <n v="4950"/>
        <n v="8640"/>
        <n v="3750"/>
        <n v="6250"/>
        <n v="8000"/>
        <n v="7539.2"/>
        <n v="5890"/>
        <n v="9200"/>
        <n v="8816"/>
        <n v="6400"/>
        <n v="2250"/>
        <n v="2500"/>
      </sharedItems>
    </cacheField>
    <cacheField name="Payement_methode" numFmtId="0">
      <sharedItems/>
    </cacheField>
    <cacheField name="Sales_persons" numFmtId="0">
      <sharedItems count="5">
        <s v="Anna Perez"/>
        <s v="Tom Jackson"/>
        <s v="Jenna Silva"/>
        <s v="Remy Monet"/>
        <s v="Walter Muller"/>
      </sharedItems>
    </cacheField>
  </cacheFields>
  <extLst>
    <ext xmlns:x14="http://schemas.microsoft.com/office/spreadsheetml/2009/9/main" uri="{725AE2AE-9491-48be-B2B4-4EB974FC3084}">
      <x14:pivotCacheDefinition pivotCacheId="84977114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ylvester" refreshedDate="45499.041522106483" createdVersion="6" refreshedVersion="6" minRefreshableVersion="3" recordCount="98">
  <cacheSource type="worksheet">
    <worksheetSource name="Table2"/>
  </cacheSource>
  <cacheFields count="10">
    <cacheField name="Order ID" numFmtId="0">
      <sharedItems containsString="0" containsBlank="1" containsNumber="1" containsInteger="1" minValue="10452" maxValue="10549"/>
    </cacheField>
    <cacheField name="Date" numFmtId="14">
      <sharedItems containsSemiMixedTypes="0" containsNonDate="0" containsDate="1" containsString="0" minDate="2023-06-07T00:00:00" maxDate="2023-06-27T00:00:00"/>
    </cacheField>
    <cacheField name="Full_name" numFmtId="0">
      <sharedItems count="95">
        <s v="Janet Murphy"/>
        <s v="Janice Clark"/>
        <s v="Charlotte Walker"/>
        <s v="Natalie Robinson"/>
        <s v="Doris Nguyen"/>
        <s v="Keith Roberts"/>
        <s v="Kelly Jones"/>
        <s v="Kennedi Singh"/>
        <s v="Joseph Mitchell"/>
        <s v="Steven Simpson"/>
        <s v="Kenneth Anderson"/>
        <s v="Nicholas Gerrard"/>
        <s v="Judith Lopez"/>
        <s v="Hannah Garcia"/>
        <s v="Marilyn Allen"/>
        <s v="Brendan Walls"/>
        <s v="Carolyn Muir"/>
        <s v="Teresa Jarris"/>
        <s v="Beverly Young"/>
        <s v="Brittany Hill"/>
        <s v="Christian Carter"/>
        <s v="Gary Sinclair"/>
        <s v="Ivan Hines"/>
        <s v="Jonah Higgins"/>
        <s v="Lucia Mckay"/>
        <s v="Jaylynn Knapp"/>
        <s v="Bryce Carpenter"/>
        <s v="Michael Filson"/>
        <s v="Thomas Clark"/>
        <s v="Daniel Davidson"/>
        <s v="Heather Stevenson"/>
        <s v="Martha Lee"/>
        <s v="Richard Ross"/>
        <s v="Andrew Hamilton"/>
        <s v="Catherine Sunderland"/>
        <s v="Jacob William"/>
        <s v="Victoria Prowse"/>
        <s v="Ruth Milner"/>
        <s v="Virginia Dunk"/>
        <s v="Bruce Rich"/>
        <s v="William Stewart"/>
        <s v="Charles Gray"/>
        <s v="Ronald Millar"/>
        <s v="Lauren Webster"/>
        <s v="Kayla Nelson"/>
        <s v="Denzel Flores"/>
        <s v="Bruno Cordova"/>
        <s v="Gloria White"/>
        <s v="Sara Perez"/>
        <s v="Cheryl Davis"/>
        <s v="Jacqueline Moore"/>
        <s v="Jason Crawford"/>
        <s v="Jeffrey Dickson"/>
        <s v="Olivia Craig"/>
        <s v="Julie Wright"/>
        <s v="David Thomson"/>
        <s v="Christopher Taylor"/>
        <s v="Paul Murray"/>
        <s v="Megan Miller"/>
        <s v="Roger Turner"/>
        <s v="Maria Kennedy"/>
        <s v="Donald Kerr"/>
        <s v="Rachel White"/>
        <s v="Andrea Gonzalez"/>
        <s v="Kylee Townsend"/>
        <s v="Timothy Johnson"/>
        <s v="Jonathan Burns"/>
        <s v="Joyce Adams"/>
        <s v="Theresa Lewsis"/>
        <s v="Alexis Rivera"/>
        <s v="Terry Evans"/>
        <s v="John Brown"/>
        <s v="Ryan Hill"/>
        <s v="Nyla Novak"/>
        <s v="Evelyn Martinez"/>
        <s v="Bill Smith"/>
        <s v="Jordan Boone"/>
        <s v="Nora Rollins"/>
        <s v="Steven Michael"/>
        <s v="Josue Roach"/>
        <s v="Harley Fritz"/>
        <s v="Jaidyn Andersen"/>
        <s v="Matthew McDonald"/>
        <s v="Anthony Henderson"/>
        <s v="Brian Munro"/>
        <s v="George Hughes"/>
        <s v="Edward King"/>
        <s v="Eric Jones"/>
        <s v="Diane Wood"/>
        <s v="Joan Thomson"/>
        <s v="Madison Lohan"/>
        <s v="Diana Torres"/>
        <s v="Christina Fergusson"/>
        <s v="Lori Campbell"/>
        <s v="Joshua Reid"/>
      </sharedItems>
    </cacheField>
    <cacheField name="gener" numFmtId="0">
      <sharedItems/>
    </cacheField>
    <cacheField name="age" numFmtId="0">
      <sharedItems containsSemiMixedTypes="0" containsString="0" containsNumber="1" containsInteger="1" minValue="20" maxValue="68" count="43">
        <n v="55"/>
        <n v="60"/>
        <n v="58"/>
        <n v="49"/>
        <n v="42"/>
        <n v="51"/>
        <n v="50"/>
        <n v="59"/>
        <n v="48"/>
        <n v="45"/>
        <n v="56"/>
        <n v="47"/>
        <n v="44"/>
        <n v="57"/>
        <n v="53"/>
        <n v="68"/>
        <n v="54"/>
        <n v="40"/>
        <n v="67"/>
        <n v="63"/>
        <n v="62"/>
        <n v="52"/>
        <n v="41"/>
        <n v="46"/>
        <n v="61"/>
        <n v="37"/>
        <n v="39"/>
        <n v="28"/>
        <n v="33"/>
        <n v="25"/>
        <n v="36"/>
        <n v="21"/>
        <n v="24"/>
        <n v="35"/>
        <n v="31"/>
        <n v="23"/>
        <n v="43"/>
        <n v="38"/>
        <n v="26"/>
        <n v="20"/>
        <n v="32"/>
        <n v="30"/>
        <n v="22"/>
      </sharedItems>
    </cacheField>
    <cacheField name="country" numFmtId="0">
      <sharedItems/>
    </cacheField>
    <cacheField name="units" numFmtId="0">
      <sharedItems containsSemiMixedTypes="0" containsString="0" containsNumber="1" minValue="10" maxValue="91"/>
    </cacheField>
    <cacheField name="Revenue" numFmtId="0">
      <sharedItems containsSemiMixedTypes="0" containsString="0" containsNumber="1" minValue="2250" maxValue="36400"/>
    </cacheField>
    <cacheField name="Payement_methode" numFmtId="0">
      <sharedItems/>
    </cacheField>
    <cacheField name="Sales_pers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ylvester" refreshedDate="45499.49534050926" createdVersion="6" refreshedVersion="6" minRefreshableVersion="3" recordCount="98">
  <cacheSource type="worksheet">
    <worksheetSource ref="B1:L99" sheet="CLEANED DATA"/>
  </cacheSource>
  <cacheFields count="11">
    <cacheField name="Order ID" numFmtId="0">
      <sharedItems containsSemiMixedTypes="0" containsString="0" containsNumber="1" containsInteger="1" minValue="10452" maxValue="10549"/>
    </cacheField>
    <cacheField name="Date" numFmtId="14">
      <sharedItems containsSemiMixedTypes="0" containsNonDate="0" containsDate="1" containsString="0" minDate="2023-06-07T00:00:00" maxDate="2023-06-27T00:00:00"/>
    </cacheField>
    <cacheField name="full_name" numFmtId="0">
      <sharedItems count="95">
        <s v="Janice Clark"/>
        <s v="Charlotte Walker"/>
        <s v="Natalie Robinson"/>
        <s v="Doris Nguyen"/>
        <s v="Keith Roberts"/>
        <s v="Kelly Jones"/>
        <s v="Kennedi Singh"/>
        <s v="Joseph Mitchell"/>
        <s v="Steven Simpson"/>
        <s v="Kenneth Anderson"/>
        <s v="Nicholas Gerrard"/>
        <s v="Judith Lopez"/>
        <s v="Hannah Garcia"/>
        <s v="Marilyn Allen"/>
        <s v="Brendan Walls"/>
        <s v="Carolyn Muir"/>
        <s v="Teresa Jarris"/>
        <s v="Beverly Young"/>
        <s v="Brittany Hill"/>
        <s v="Christian Carter"/>
        <s v="Gary Sinclair"/>
        <s v="Ivan Hines"/>
        <s v="Jonah Higgins"/>
        <s v="Lucia Mckay"/>
        <s v="Jaylynn Knapp"/>
        <s v="Bryce Carpenter"/>
        <s v="Michael Filson"/>
        <s v="Thomas Clark"/>
        <s v="Daniel Davidson"/>
        <s v="Heather Stevenson"/>
        <s v="Martha Lee"/>
        <s v="Richard Ross"/>
        <s v="Andrew Hamilton"/>
        <s v="Catherine Sunderland"/>
        <s v="Jacob William"/>
        <s v="Victoria Prowse"/>
        <s v="Ruth Milner"/>
        <s v="Virginia Dunk"/>
        <s v="Bruce Rich"/>
        <s v="William Stewart"/>
        <s v="Charles Gray"/>
        <s v="Ronald Millar"/>
        <s v="Lauren Webster"/>
        <s v="Kayla Nelson"/>
        <s v="Denzel Flores"/>
        <s v="Bruno Cordova"/>
        <s v="Gloria White"/>
        <s v="Sara Perez"/>
        <s v="Cheryl Davis"/>
        <s v="Jacqueline Moore"/>
        <s v="Jason Crawford"/>
        <s v="Jeffrey Dickson"/>
        <s v="Olivia Craig"/>
        <s v="Julie Wright"/>
        <s v="David Thomson"/>
        <s v="Christopher Taylor"/>
        <s v="Paul Murray"/>
        <s v="Megan Miller"/>
        <s v="Roger Turner"/>
        <s v="Maria Kennedy"/>
        <s v="Donald Kerr"/>
        <s v="Rachel White"/>
        <s v="Andrea Gonzalez"/>
        <s v="Kylee Townsend"/>
        <s v="Timothy Johnson"/>
        <s v="Jonathan Burns"/>
        <s v="Joyce Adams"/>
        <s v="Theresa Lewsis"/>
        <s v="Alexis Rivera"/>
        <s v="Terry Evans"/>
        <s v="John Brown"/>
        <s v="Ryan Hill"/>
        <s v="Nyla Novak"/>
        <s v="Evelyn Martinez"/>
        <s v="Bill Smith"/>
        <s v="Jordan Boone"/>
        <s v="Nora Rollins"/>
        <s v="Steven Michael"/>
        <s v="Josue Roach"/>
        <s v="Harley Fritz"/>
        <s v="Jaidyn Andersen"/>
        <s v="Matthew McDonald"/>
        <s v="Anthony Henderson"/>
        <s v="Brian Munro"/>
        <s v="George Hughes"/>
        <s v="Edward King"/>
        <s v="Eric Jones"/>
        <s v="Diane Wood"/>
        <s v="Joan Thomson"/>
        <s v="Madison Lohan"/>
        <s v="Diana Torres"/>
        <s v="Christina Fergusson"/>
        <s v="Lori Campbell"/>
        <s v="Joshua Reid"/>
        <s v=" 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0" maxValue="68"/>
    </cacheField>
    <cacheField name="Country" numFmtId="0">
      <sharedItems/>
    </cacheField>
    <cacheField name="Price" numFmtId="0">
      <sharedItems containsSemiMixedTypes="0" containsString="0" containsNumber="1" containsInteger="1" minValue="150" maxValue="400"/>
    </cacheField>
    <cacheField name="Units" numFmtId="0">
      <sharedItems containsSemiMixedTypes="0" containsString="0" containsNumber="1" containsInteger="1" minValue="10" maxValue="91"/>
    </cacheField>
    <cacheField name="Revenue" numFmtId="0">
      <sharedItems containsSemiMixedTypes="0" containsString="0" containsNumber="1" minValue="2250" maxValue="36400"/>
    </cacheField>
    <cacheField name="Payment _x000a_Method" numFmtId="0">
      <sharedItems/>
    </cacheField>
    <cacheField name="sale_person" numFmtId="0">
      <sharedItems count="5">
        <s v="Anna Perez"/>
        <s v="Tom Jackson"/>
        <s v="Jenna Silva"/>
        <s v="Remy Monet"/>
        <s v="Walter Mull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d v="2023-06-18T00:00:00"/>
    <x v="0"/>
    <s v="Female"/>
    <n v="55"/>
    <x v="0"/>
    <n v="91"/>
    <x v="0"/>
    <s v=" Credit Card"/>
    <x v="0"/>
  </r>
  <r>
    <x v="1"/>
    <d v="2023-06-23T00:00:00"/>
    <x v="1"/>
    <s v="Female"/>
    <n v="60"/>
    <x v="1"/>
    <n v="83.6"/>
    <x v="1"/>
    <s v=" Cash"/>
    <x v="0"/>
  </r>
  <r>
    <x v="2"/>
    <d v="2023-06-24T00:00:00"/>
    <x v="2"/>
    <s v="Female"/>
    <n v="58"/>
    <x v="0"/>
    <n v="83.6"/>
    <x v="2"/>
    <s v=" Credit Card"/>
    <x v="0"/>
  </r>
  <r>
    <x v="3"/>
    <d v="2023-06-24T00:00:00"/>
    <x v="3"/>
    <s v="Female"/>
    <n v="49"/>
    <x v="0"/>
    <n v="83.6"/>
    <x v="2"/>
    <s v=" Credit Card"/>
    <x v="0"/>
  </r>
  <r>
    <x v="4"/>
    <d v="2023-06-25T00:00:00"/>
    <x v="4"/>
    <s v="Female"/>
    <n v="42"/>
    <x v="1"/>
    <n v="83.6"/>
    <x v="1"/>
    <s v=" Credit Card"/>
    <x v="1"/>
  </r>
  <r>
    <x v="5"/>
    <d v="2023-06-26T00:00:00"/>
    <x v="5"/>
    <s v="Male"/>
    <n v="51"/>
    <x v="2"/>
    <n v="83.6"/>
    <x v="3"/>
    <s v=" Credit Card"/>
    <x v="1"/>
  </r>
  <r>
    <x v="6"/>
    <d v="2023-06-14T00:00:00"/>
    <x v="6"/>
    <s v="Female"/>
    <n v="51"/>
    <x v="3"/>
    <n v="82"/>
    <x v="4"/>
    <s v=" Credit Card"/>
    <x v="2"/>
  </r>
  <r>
    <x v="7"/>
    <d v="2023-06-07T00:00:00"/>
    <x v="7"/>
    <s v="Male"/>
    <n v="50"/>
    <x v="4"/>
    <n v="80"/>
    <x v="5"/>
    <s v=" Gift Card"/>
    <x v="0"/>
  </r>
  <r>
    <x v="8"/>
    <d v="2023-06-12T00:00:00"/>
    <x v="8"/>
    <s v="Male"/>
    <n v="59"/>
    <x v="0"/>
    <n v="80"/>
    <x v="6"/>
    <s v=" Credit Card"/>
    <x v="0"/>
  </r>
  <r>
    <x v="9"/>
    <d v="2023-06-14T00:00:00"/>
    <x v="9"/>
    <s v="Male"/>
    <n v="48"/>
    <x v="5"/>
    <n v="80"/>
    <x v="6"/>
    <s v=" Credit Card"/>
    <x v="2"/>
  </r>
  <r>
    <x v="10"/>
    <d v="2023-06-15T00:00:00"/>
    <x v="10"/>
    <s v="Male"/>
    <n v="45"/>
    <x v="3"/>
    <n v="80"/>
    <x v="6"/>
    <s v=" Credit Card"/>
    <x v="0"/>
  </r>
  <r>
    <x v="11"/>
    <d v="2023-06-17T00:00:00"/>
    <x v="11"/>
    <s v="Male"/>
    <n v="56"/>
    <x v="4"/>
    <n v="80"/>
    <x v="7"/>
    <s v=" Credit Card"/>
    <x v="0"/>
  </r>
  <r>
    <x v="12"/>
    <d v="2023-06-21T00:00:00"/>
    <x v="12"/>
    <s v="Female"/>
    <n v="47"/>
    <x v="3"/>
    <n v="80"/>
    <x v="8"/>
    <s v=" Cash"/>
    <x v="3"/>
  </r>
  <r>
    <x v="13"/>
    <d v="2023-06-22T00:00:00"/>
    <x v="13"/>
    <s v="Female"/>
    <n v="60"/>
    <x v="4"/>
    <n v="79.8"/>
    <x v="9"/>
    <s v=" Cash"/>
    <x v="3"/>
  </r>
  <r>
    <x v="14"/>
    <d v="2023-06-24T00:00:00"/>
    <x v="14"/>
    <s v="Female"/>
    <n v="44"/>
    <x v="1"/>
    <n v="79.599999999999994"/>
    <x v="10"/>
    <s v=" Credit Card"/>
    <x v="0"/>
  </r>
  <r>
    <x v="15"/>
    <d v="2023-06-09T00:00:00"/>
    <x v="15"/>
    <s v="Male"/>
    <n v="57"/>
    <x v="3"/>
    <n v="76.000000000000014"/>
    <x v="11"/>
    <s v=" Credit Card"/>
    <x v="3"/>
  </r>
  <r>
    <x v="16"/>
    <d v="2023-06-18T00:00:00"/>
    <x v="16"/>
    <s v="Female"/>
    <n v="56"/>
    <x v="0"/>
    <n v="76.000000000000014"/>
    <x v="12"/>
    <s v=" Credit Card"/>
    <x v="0"/>
  </r>
  <r>
    <x v="17"/>
    <d v="2023-06-23T00:00:00"/>
    <x v="17"/>
    <s v="Female"/>
    <n v="53"/>
    <x v="1"/>
    <n v="76.000000000000014"/>
    <x v="11"/>
    <s v=" Cash"/>
    <x v="3"/>
  </r>
  <r>
    <x v="18"/>
    <d v="2023-06-24T00:00:00"/>
    <x v="18"/>
    <s v="Female"/>
    <n v="45"/>
    <x v="0"/>
    <n v="76.000000000000014"/>
    <x v="12"/>
    <s v=" Credit Card"/>
    <x v="0"/>
  </r>
  <r>
    <x v="19"/>
    <d v="2023-06-25T00:00:00"/>
    <x v="19"/>
    <s v="Female"/>
    <n v="68"/>
    <x v="1"/>
    <n v="76.000000000000014"/>
    <x v="13"/>
    <s v=" Credit Card"/>
    <x v="1"/>
  </r>
  <r>
    <x v="20"/>
    <d v="2023-06-26T00:00:00"/>
    <x v="20"/>
    <s v="Male"/>
    <n v="54"/>
    <x v="3"/>
    <n v="76.000000000000014"/>
    <x v="13"/>
    <s v=" Credit Card"/>
    <x v="1"/>
  </r>
  <r>
    <x v="21"/>
    <d v="2023-06-17T00:00:00"/>
    <x v="21"/>
    <s v="Male"/>
    <n v="40"/>
    <x v="4"/>
    <n v="76"/>
    <x v="14"/>
    <s v=" Credit Card"/>
    <x v="0"/>
  </r>
  <r>
    <x v="22"/>
    <d v="2023-06-08T00:00:00"/>
    <x v="22"/>
    <s v="Male"/>
    <n v="49"/>
    <x v="5"/>
    <n v="75"/>
    <x v="15"/>
    <s v=" Credit Card"/>
    <x v="4"/>
  </r>
  <r>
    <x v="23"/>
    <d v="2023-06-08T00:00:00"/>
    <x v="23"/>
    <s v="Male"/>
    <n v="49"/>
    <x v="5"/>
    <n v="75"/>
    <x v="16"/>
    <s v=" Credit Card"/>
    <x v="3"/>
  </r>
  <r>
    <x v="24"/>
    <d v="2023-06-09T00:00:00"/>
    <x v="24"/>
    <s v="Female"/>
    <n v="48"/>
    <x v="3"/>
    <n v="75"/>
    <x v="17"/>
    <s v=" Credit Card"/>
    <x v="3"/>
  </r>
  <r>
    <x v="25"/>
    <d v="2023-06-10T00:00:00"/>
    <x v="25"/>
    <s v="Female"/>
    <n v="67"/>
    <x v="0"/>
    <n v="75"/>
    <x v="17"/>
    <s v=" Credit Card"/>
    <x v="0"/>
  </r>
  <r>
    <x v="26"/>
    <d v="2023-06-11T00:00:00"/>
    <x v="26"/>
    <s v="Male"/>
    <n v="59"/>
    <x v="0"/>
    <n v="75"/>
    <x v="18"/>
    <s v=" Credit Card"/>
    <x v="0"/>
  </r>
  <r>
    <x v="27"/>
    <d v="2023-06-11T00:00:00"/>
    <x v="27"/>
    <s v="Male"/>
    <n v="63"/>
    <x v="5"/>
    <n v="75"/>
    <x v="18"/>
    <s v=" Credit Card"/>
    <x v="0"/>
  </r>
  <r>
    <x v="28"/>
    <d v="2023-06-12T00:00:00"/>
    <x v="28"/>
    <s v="Male"/>
    <n v="62"/>
    <x v="3"/>
    <n v="75"/>
    <x v="18"/>
    <s v=" Credit Card"/>
    <x v="0"/>
  </r>
  <r>
    <x v="29"/>
    <d v="2023-06-13T00:00:00"/>
    <x v="29"/>
    <s v="Male"/>
    <n v="67"/>
    <x v="4"/>
    <n v="75"/>
    <x v="18"/>
    <s v=" Credit Card"/>
    <x v="0"/>
  </r>
  <r>
    <x v="30"/>
    <d v="2023-06-13T00:00:00"/>
    <x v="29"/>
    <s v="Male"/>
    <n v="67"/>
    <x v="4"/>
    <n v="75"/>
    <x v="16"/>
    <s v=" Credit Card"/>
    <x v="0"/>
  </r>
  <r>
    <x v="31"/>
    <d v="2023-06-19T00:00:00"/>
    <x v="30"/>
    <s v="Female"/>
    <n v="60"/>
    <x v="6"/>
    <n v="75"/>
    <x v="17"/>
    <s v=" Credit Card"/>
    <x v="0"/>
  </r>
  <r>
    <x v="32"/>
    <d v="2023-06-22T00:00:00"/>
    <x v="31"/>
    <s v="Female"/>
    <n v="62"/>
    <x v="1"/>
    <n v="73.98"/>
    <x v="19"/>
    <s v=" Cash"/>
    <x v="3"/>
  </r>
  <r>
    <x v="33"/>
    <d v="2023-06-12T00:00:00"/>
    <x v="32"/>
    <s v="Male"/>
    <n v="52"/>
    <x v="0"/>
    <n v="70"/>
    <x v="20"/>
    <s v=" Credit Card"/>
    <x v="0"/>
  </r>
  <r>
    <x v="34"/>
    <d v="2023-06-14T00:00:00"/>
    <x v="33"/>
    <s v="Male"/>
    <n v="41"/>
    <x v="5"/>
    <n v="70"/>
    <x v="21"/>
    <s v=" Credit Card"/>
    <x v="2"/>
  </r>
  <r>
    <x v="35"/>
    <d v="2023-06-18T00:00:00"/>
    <x v="34"/>
    <s v="Female"/>
    <n v="51"/>
    <x v="0"/>
    <n v="70"/>
    <x v="21"/>
    <s v=" Credit Card"/>
    <x v="0"/>
  </r>
  <r>
    <x v="36"/>
    <d v="2023-06-17T00:00:00"/>
    <x v="35"/>
    <s v="Male"/>
    <n v="54"/>
    <x v="4"/>
    <n v="67"/>
    <x v="22"/>
    <s v=" Credit Card"/>
    <x v="0"/>
  </r>
  <r>
    <x v="37"/>
    <d v="2023-06-20T00:00:00"/>
    <x v="36"/>
    <s v="Female"/>
    <n v="58"/>
    <x v="6"/>
    <n v="63"/>
    <x v="23"/>
    <s v=" Cash"/>
    <x v="2"/>
  </r>
  <r>
    <x v="38"/>
    <d v="2023-06-20T00:00:00"/>
    <x v="37"/>
    <s v="Female"/>
    <n v="55"/>
    <x v="6"/>
    <n v="63"/>
    <x v="24"/>
    <s v=" Cash"/>
    <x v="2"/>
  </r>
  <r>
    <x v="39"/>
    <d v="2023-06-13T00:00:00"/>
    <x v="38"/>
    <s v="Female"/>
    <n v="52"/>
    <x v="6"/>
    <n v="63"/>
    <x v="23"/>
    <s v=" Credit Card"/>
    <x v="2"/>
  </r>
  <r>
    <x v="40"/>
    <d v="2023-06-10T00:00:00"/>
    <x v="39"/>
    <s v="Male"/>
    <n v="53"/>
    <x v="0"/>
    <n v="60"/>
    <x v="15"/>
    <s v=" Credit Card"/>
    <x v="0"/>
  </r>
  <r>
    <x v="41"/>
    <d v="2023-06-12T00:00:00"/>
    <x v="40"/>
    <s v="Male"/>
    <n v="46"/>
    <x v="0"/>
    <n v="60"/>
    <x v="25"/>
    <s v=" Credit Card"/>
    <x v="0"/>
  </r>
  <r>
    <x v="42"/>
    <d v="2023-06-13T00:00:00"/>
    <x v="41"/>
    <s v="Male"/>
    <n v="52"/>
    <x v="4"/>
    <n v="60"/>
    <x v="26"/>
    <s v=" Credit Card"/>
    <x v="0"/>
  </r>
  <r>
    <x v="43"/>
    <d v="2023-06-16T00:00:00"/>
    <x v="42"/>
    <s v="Male"/>
    <n v="61"/>
    <x v="5"/>
    <n v="60"/>
    <x v="27"/>
    <s v=" Credit Card"/>
    <x v="0"/>
  </r>
  <r>
    <x v="44"/>
    <d v="2023-06-13T00:00:00"/>
    <x v="43"/>
    <s v="Female"/>
    <n v="44"/>
    <x v="6"/>
    <n v="60"/>
    <x v="27"/>
    <s v=" Credit Card"/>
    <x v="2"/>
  </r>
  <r>
    <x v="45"/>
    <d v="2023-06-25T00:00:00"/>
    <x v="44"/>
    <s v="Female"/>
    <n v="55"/>
    <x v="2"/>
    <n v="59.8"/>
    <x v="28"/>
    <s v=" Credit Card"/>
    <x v="1"/>
  </r>
  <r>
    <x v="46"/>
    <d v="2023-06-10T00:00:00"/>
    <x v="45"/>
    <s v="Male"/>
    <n v="37"/>
    <x v="0"/>
    <n v="50"/>
    <x v="29"/>
    <s v=" Credit Card"/>
    <x v="0"/>
  </r>
  <r>
    <x v="47"/>
    <d v="2023-06-10T00:00:00"/>
    <x v="46"/>
    <s v="Male"/>
    <n v="39"/>
    <x v="0"/>
    <n v="50"/>
    <x v="5"/>
    <s v=" Credit Card"/>
    <x v="0"/>
  </r>
  <r>
    <x v="48"/>
    <d v="2023-06-23T00:00:00"/>
    <x v="47"/>
    <s v="Female"/>
    <n v="28"/>
    <x v="1"/>
    <n v="45.6"/>
    <x v="30"/>
    <s v=" Cash"/>
    <x v="2"/>
  </r>
  <r>
    <x v="49"/>
    <d v="2023-06-23T00:00:00"/>
    <x v="48"/>
    <s v="Female"/>
    <n v="37"/>
    <x v="1"/>
    <n v="45.6"/>
    <x v="30"/>
    <s v=" Cash"/>
    <x v="2"/>
  </r>
  <r>
    <x v="50"/>
    <d v="2023-06-22T00:00:00"/>
    <x v="49"/>
    <s v="Female"/>
    <n v="33"/>
    <x v="1"/>
    <n v="45"/>
    <x v="31"/>
    <s v=" Cash"/>
    <x v="3"/>
  </r>
  <r>
    <x v="51"/>
    <d v="2023-06-22T00:00:00"/>
    <x v="50"/>
    <s v="Female"/>
    <n v="49"/>
    <x v="1"/>
    <n v="45"/>
    <x v="32"/>
    <s v=" Cash"/>
    <x v="3"/>
  </r>
  <r>
    <x v="52"/>
    <d v="2023-06-16T00:00:00"/>
    <x v="51"/>
    <s v="Male"/>
    <n v="25"/>
    <x v="5"/>
    <n v="44"/>
    <x v="33"/>
    <s v=" Credit Card"/>
    <x v="0"/>
  </r>
  <r>
    <x v="53"/>
    <d v="2023-06-16T00:00:00"/>
    <x v="52"/>
    <s v="Male"/>
    <n v="36"/>
    <x v="5"/>
    <n v="44"/>
    <x v="33"/>
    <s v=" Credit Card"/>
    <x v="0"/>
  </r>
  <r>
    <x v="54"/>
    <d v="2023-06-19T00:00:00"/>
    <x v="53"/>
    <s v="Female"/>
    <n v="37"/>
    <x v="6"/>
    <n v="43"/>
    <x v="34"/>
    <s v=" Credit Card"/>
    <x v="2"/>
  </r>
  <r>
    <x v="55"/>
    <d v="2023-06-19T00:00:00"/>
    <x v="54"/>
    <s v="Female"/>
    <n v="51"/>
    <x v="6"/>
    <n v="42"/>
    <x v="35"/>
    <s v=" Cash"/>
    <x v="2"/>
  </r>
  <r>
    <x v="56"/>
    <d v="2023-06-11T00:00:00"/>
    <x v="55"/>
    <s v="Male"/>
    <n v="21"/>
    <x v="5"/>
    <n v="40"/>
    <x v="36"/>
    <s v=" Credit Card"/>
    <x v="0"/>
  </r>
  <r>
    <x v="57"/>
    <d v="2023-06-12T00:00:00"/>
    <x v="56"/>
    <s v="Male"/>
    <n v="37"/>
    <x v="3"/>
    <n v="40"/>
    <x v="37"/>
    <s v=" Credit Card"/>
    <x v="0"/>
  </r>
  <r>
    <x v="58"/>
    <d v="2023-06-14T00:00:00"/>
    <x v="57"/>
    <s v="Male"/>
    <n v="24"/>
    <x v="5"/>
    <n v="40"/>
    <x v="36"/>
    <s v=" Credit Card"/>
    <x v="2"/>
  </r>
  <r>
    <x v="59"/>
    <d v="2023-06-22T00:00:00"/>
    <x v="58"/>
    <s v="Female"/>
    <n v="24"/>
    <x v="1"/>
    <n v="39.799999999999997"/>
    <x v="38"/>
    <s v=" Cash"/>
    <x v="3"/>
  </r>
  <r>
    <x v="60"/>
    <d v="2023-06-26T00:00:00"/>
    <x v="59"/>
    <s v="Male"/>
    <n v="21"/>
    <x v="2"/>
    <n v="39.799999999999997"/>
    <x v="39"/>
    <s v=" Credit Card"/>
    <x v="1"/>
  </r>
  <r>
    <x v="61"/>
    <d v="2023-06-18T00:00:00"/>
    <x v="60"/>
    <s v="Female"/>
    <n v="39"/>
    <x v="0"/>
    <n v="39"/>
    <x v="40"/>
    <s v=" Credit Card"/>
    <x v="0"/>
  </r>
  <r>
    <x v="62"/>
    <d v="2023-06-14T00:00:00"/>
    <x v="61"/>
    <s v="Male"/>
    <n v="35"/>
    <x v="5"/>
    <n v="38"/>
    <x v="41"/>
    <s v=" Credit Card"/>
    <x v="2"/>
  </r>
  <r>
    <x v="63"/>
    <d v="2023-06-18T00:00:00"/>
    <x v="62"/>
    <s v="Female"/>
    <n v="35"/>
    <x v="0"/>
    <n v="38"/>
    <x v="42"/>
    <s v=" Credit Card"/>
    <x v="0"/>
  </r>
  <r>
    <x v="64"/>
    <d v="2023-06-21T00:00:00"/>
    <x v="63"/>
    <s v="Female"/>
    <n v="46"/>
    <x v="3"/>
    <n v="38"/>
    <x v="43"/>
    <s v=" Cash"/>
    <x v="3"/>
  </r>
  <r>
    <x v="65"/>
    <d v="2023-06-08T00:00:00"/>
    <x v="64"/>
    <s v="Female"/>
    <n v="31"/>
    <x v="4"/>
    <n v="37.999999999999993"/>
    <x v="44"/>
    <s v=" Credit Card"/>
    <x v="4"/>
  </r>
  <r>
    <x v="66"/>
    <d v="2023-06-15T00:00:00"/>
    <x v="65"/>
    <s v="Male"/>
    <n v="23"/>
    <x v="5"/>
    <n v="37.999999999999993"/>
    <x v="45"/>
    <s v=" Credit Card"/>
    <x v="0"/>
  </r>
  <r>
    <x v="67"/>
    <d v="2023-06-17T00:00:00"/>
    <x v="66"/>
    <s v="Male"/>
    <n v="23"/>
    <x v="0"/>
    <n v="37.999999999999993"/>
    <x v="45"/>
    <s v=" Credit Card"/>
    <x v="0"/>
  </r>
  <r>
    <x v="68"/>
    <d v="2023-06-19T00:00:00"/>
    <x v="67"/>
    <s v="Female"/>
    <n v="21"/>
    <x v="6"/>
    <n v="37.999999999999993"/>
    <x v="44"/>
    <s v=" Cash"/>
    <x v="2"/>
  </r>
  <r>
    <x v="69"/>
    <d v="2023-06-24T00:00:00"/>
    <x v="68"/>
    <s v="Female"/>
    <n v="55"/>
    <x v="2"/>
    <n v="37.999999999999993"/>
    <x v="45"/>
    <s v=" Credit Card"/>
    <x v="0"/>
  </r>
  <r>
    <x v="70"/>
    <d v="2023-06-25T00:00:00"/>
    <x v="69"/>
    <s v="Female"/>
    <n v="43"/>
    <x v="1"/>
    <n v="37.999999999999993"/>
    <x v="44"/>
    <s v=" Credit Card"/>
    <x v="1"/>
  </r>
  <r>
    <x v="71"/>
    <d v="2023-06-26T00:00:00"/>
    <x v="70"/>
    <s v="Male"/>
    <n v="52"/>
    <x v="5"/>
    <n v="37.999999999999993"/>
    <x v="46"/>
    <s v=" Credit Card"/>
    <x v="1"/>
  </r>
  <r>
    <x v="72"/>
    <d v="2023-06-11T00:00:00"/>
    <x v="71"/>
    <s v="Male"/>
    <n v="38"/>
    <x v="5"/>
    <n v="35"/>
    <x v="47"/>
    <s v=" Credit Card"/>
    <x v="0"/>
  </r>
  <r>
    <x v="73"/>
    <d v="2023-06-16T00:00:00"/>
    <x v="72"/>
    <s v="Male"/>
    <n v="39"/>
    <x v="5"/>
    <n v="33"/>
    <x v="48"/>
    <s v=" Credit Card"/>
    <x v="0"/>
  </r>
  <r>
    <x v="74"/>
    <d v="2023-06-08T00:00:00"/>
    <x v="73"/>
    <s v="Female"/>
    <n v="31"/>
    <x v="2"/>
    <n v="28"/>
    <x v="47"/>
    <s v=" Credit Card"/>
    <x v="4"/>
  </r>
  <r>
    <x v="75"/>
    <d v="2023-06-21T00:00:00"/>
    <x v="74"/>
    <s v="Female"/>
    <n v="26"/>
    <x v="3"/>
    <n v="27"/>
    <x v="49"/>
    <s v=" Cash"/>
    <x v="3"/>
  </r>
  <r>
    <x v="76"/>
    <d v="2023-06-07T00:00:00"/>
    <x v="75"/>
    <s v="Male"/>
    <n v="23"/>
    <x v="2"/>
    <n v="25"/>
    <x v="50"/>
    <s v=" Gift Card"/>
    <x v="1"/>
  </r>
  <r>
    <x v="77"/>
    <d v="2023-06-08T00:00:00"/>
    <x v="76"/>
    <s v="Male"/>
    <n v="36"/>
    <x v="5"/>
    <n v="25"/>
    <x v="51"/>
    <s v=" Credit Card"/>
    <x v="3"/>
  </r>
  <r>
    <x v="78"/>
    <d v="2023-06-09T00:00:00"/>
    <x v="77"/>
    <s v="Female"/>
    <n v="20"/>
    <x v="3"/>
    <n v="25"/>
    <x v="52"/>
    <s v=" Credit Card"/>
    <x v="3"/>
  </r>
  <r>
    <x v="79"/>
    <d v="2023-06-09T00:00:00"/>
    <x v="78"/>
    <s v="Male"/>
    <n v="28"/>
    <x v="4"/>
    <n v="25"/>
    <x v="37"/>
    <s v=" Credit Card"/>
    <x v="3"/>
  </r>
  <r>
    <x v="80"/>
    <d v="2023-06-09T00:00:00"/>
    <x v="79"/>
    <s v="Male"/>
    <n v="32"/>
    <x v="4"/>
    <n v="25"/>
    <x v="52"/>
    <s v=" Credit Card"/>
    <x v="3"/>
  </r>
  <r>
    <x v="81"/>
    <d v="2023-06-07T00:00:00"/>
    <x v="80"/>
    <s v="Female"/>
    <n v="30"/>
    <x v="2"/>
    <n v="25"/>
    <x v="51"/>
    <s v=" Gift Card"/>
    <x v="2"/>
  </r>
  <r>
    <x v="82"/>
    <d v="2023-06-11T00:00:00"/>
    <x v="81"/>
    <s v="Female"/>
    <n v="23"/>
    <x v="0"/>
    <n v="25"/>
    <x v="50"/>
    <s v=" Credit Card"/>
    <x v="0"/>
  </r>
  <r>
    <x v="83"/>
    <d v="2023-06-13T00:00:00"/>
    <x v="82"/>
    <s v="Male"/>
    <n v="24"/>
    <x v="3"/>
    <n v="25"/>
    <x v="51"/>
    <s v=" Credit Card"/>
    <x v="2"/>
  </r>
  <r>
    <x v="84"/>
    <d v="2023-06-13T00:00:00"/>
    <x v="83"/>
    <s v="Male"/>
    <n v="20"/>
    <x v="4"/>
    <n v="25"/>
    <x v="52"/>
    <s v=" Credit Card"/>
    <x v="2"/>
  </r>
  <r>
    <x v="85"/>
    <d v="2023-06-15T00:00:00"/>
    <x v="84"/>
    <s v="Male"/>
    <n v="38"/>
    <x v="7"/>
    <n v="25"/>
    <x v="50"/>
    <s v=" Credit Card"/>
    <x v="0"/>
  </r>
  <r>
    <x v="86"/>
    <d v="2023-06-15T00:00:00"/>
    <x v="85"/>
    <s v="Male"/>
    <n v="36"/>
    <x v="5"/>
    <n v="25"/>
    <x v="50"/>
    <s v=" Credit Card"/>
    <x v="0"/>
  </r>
  <r>
    <x v="87"/>
    <d v="2023-06-16T00:00:00"/>
    <x v="86"/>
    <s v="Male"/>
    <n v="31"/>
    <x v="5"/>
    <n v="25"/>
    <x v="52"/>
    <s v=" Credit Card"/>
    <x v="0"/>
  </r>
  <r>
    <x v="88"/>
    <d v="2023-06-17T00:00:00"/>
    <x v="87"/>
    <s v="Male"/>
    <n v="33"/>
    <x v="0"/>
    <n v="25"/>
    <x v="52"/>
    <s v=" Credit Card"/>
    <x v="0"/>
  </r>
  <r>
    <x v="89"/>
    <d v="2023-06-19T00:00:00"/>
    <x v="88"/>
    <s v="Female"/>
    <n v="22"/>
    <x v="6"/>
    <n v="25"/>
    <x v="50"/>
    <s v=" Credit Card"/>
    <x v="2"/>
  </r>
  <r>
    <x v="90"/>
    <d v="2023-06-21T00:00:00"/>
    <x v="89"/>
    <s v="Female"/>
    <n v="26"/>
    <x v="3"/>
    <n v="25"/>
    <x v="37"/>
    <s v=" Cash"/>
    <x v="3"/>
  </r>
  <r>
    <x v="91"/>
    <d v="2023-06-23T00:00:00"/>
    <x v="90"/>
    <s v="Female"/>
    <n v="26"/>
    <x v="1"/>
    <n v="23.56"/>
    <x v="53"/>
    <s v=" Cash"/>
    <x v="3"/>
  </r>
  <r>
    <x v="91"/>
    <d v="2023-06-25T00:00:00"/>
    <x v="91"/>
    <s v="Female"/>
    <n v="62"/>
    <x v="1"/>
    <n v="23.56"/>
    <x v="54"/>
    <s v=" Credit Card"/>
    <x v="0"/>
  </r>
  <r>
    <x v="91"/>
    <d v="2023-06-21T00:00:00"/>
    <x v="92"/>
    <s v="Female"/>
    <n v="26"/>
    <x v="3"/>
    <n v="23"/>
    <x v="55"/>
    <s v=" Cash"/>
    <x v="3"/>
  </r>
  <r>
    <x v="91"/>
    <d v="2023-06-26T00:00:00"/>
    <x v="93"/>
    <s v="Female"/>
    <n v="20"/>
    <x v="3"/>
    <n v="22.04"/>
    <x v="56"/>
    <s v=" Credit Card"/>
    <x v="1"/>
  </r>
  <r>
    <x v="91"/>
    <d v="2023-06-14T00:00:00"/>
    <x v="94"/>
    <s v="Male"/>
    <n v="36"/>
    <x v="4"/>
    <n v="20"/>
    <x v="57"/>
    <s v=" Credit Card"/>
    <x v="0"/>
  </r>
  <r>
    <x v="91"/>
    <d v="2023-06-07T00:00:00"/>
    <x v="80"/>
    <s v="Female"/>
    <n v="30"/>
    <x v="2"/>
    <n v="15"/>
    <x v="58"/>
    <s v=" Gift Card"/>
    <x v="2"/>
  </r>
  <r>
    <x v="91"/>
    <d v="2023-06-07T00:00:00"/>
    <x v="80"/>
    <s v="Female"/>
    <n v="30"/>
    <x v="2"/>
    <n v="10"/>
    <x v="59"/>
    <s v=" Gift Card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0507"/>
    <d v="2023-06-18T00:00:00"/>
    <x v="0"/>
    <s v="Female"/>
    <x v="0"/>
    <s v="FRANCE"/>
    <n v="91"/>
    <n v="36400"/>
    <s v=" Credit Card"/>
    <s v="Anna Perez"/>
  </r>
  <r>
    <n v="10534"/>
    <d v="2023-06-23T00:00:00"/>
    <x v="1"/>
    <s v="Female"/>
    <x v="1"/>
    <s v="ITALIA"/>
    <n v="83.6"/>
    <n v="33440"/>
    <s v=" Cash"/>
    <s v="Anna Perez"/>
  </r>
  <r>
    <n v="10537"/>
    <d v="2023-06-24T00:00:00"/>
    <x v="2"/>
    <s v="Female"/>
    <x v="2"/>
    <s v="FRANCE"/>
    <n v="83.6"/>
    <n v="26752"/>
    <s v=" Credit Card"/>
    <s v="Anna Perez"/>
  </r>
  <r>
    <n v="10538"/>
    <d v="2023-06-24T00:00:00"/>
    <x v="3"/>
    <s v="Female"/>
    <x v="3"/>
    <s v="FRANCE"/>
    <n v="83.6"/>
    <n v="26752"/>
    <s v=" Credit Card"/>
    <s v="Anna Perez"/>
  </r>
  <r>
    <n v="10542"/>
    <d v="2023-06-25T00:00:00"/>
    <x v="4"/>
    <s v="Female"/>
    <x v="4"/>
    <s v="ITALIA"/>
    <n v="83.6"/>
    <n v="33440"/>
    <s v=" Credit Card"/>
    <s v="Tom Jackson"/>
  </r>
  <r>
    <n v="10547"/>
    <d v="2023-06-26T00:00:00"/>
    <x v="5"/>
    <s v="Male"/>
    <x v="5"/>
    <s v="ENGLAND"/>
    <n v="83.6"/>
    <n v="20900"/>
    <s v=" Credit Card"/>
    <s v="Tom Jackson"/>
  </r>
  <r>
    <n v="10485"/>
    <d v="2023-06-14T00:00:00"/>
    <x v="6"/>
    <s v="Female"/>
    <x v="5"/>
    <s v="JAPAN"/>
    <n v="82"/>
    <n v="26240"/>
    <s v=" Credit Card"/>
    <s v="Jenna Silva"/>
  </r>
  <r>
    <n v="10453"/>
    <d v="2023-06-07T00:00:00"/>
    <x v="7"/>
    <s v="Male"/>
    <x v="6"/>
    <s v="SPAIN"/>
    <n v="80"/>
    <n v="20000"/>
    <s v=" Gift Card"/>
    <s v="Anna Perez"/>
  </r>
  <r>
    <n v="10477"/>
    <d v="2023-06-12T00:00:00"/>
    <x v="8"/>
    <s v="Male"/>
    <x v="7"/>
    <s v="FRANCE"/>
    <n v="80"/>
    <n v="12000"/>
    <s v=" Credit Card"/>
    <s v="Anna Perez"/>
  </r>
  <r>
    <n v="10486"/>
    <d v="2023-06-14T00:00:00"/>
    <x v="9"/>
    <s v="Male"/>
    <x v="8"/>
    <s v="UNITED NATION"/>
    <n v="80"/>
    <n v="12000"/>
    <s v=" Credit Card"/>
    <s v="Jenna Silva"/>
  </r>
  <r>
    <n v="10490"/>
    <d v="2023-06-15T00:00:00"/>
    <x v="10"/>
    <s v="Male"/>
    <x v="9"/>
    <s v="JAPAN"/>
    <n v="80"/>
    <n v="12000"/>
    <s v=" Credit Card"/>
    <s v="Anna Perez"/>
  </r>
  <r>
    <n v="10502"/>
    <d v="2023-06-17T00:00:00"/>
    <x v="11"/>
    <s v="Male"/>
    <x v="10"/>
    <s v="SPAIN"/>
    <n v="80"/>
    <n v="25600"/>
    <s v=" Credit Card"/>
    <s v="Anna Perez"/>
  </r>
  <r>
    <n v="10523"/>
    <d v="2023-06-21T00:00:00"/>
    <x v="12"/>
    <s v="Female"/>
    <x v="11"/>
    <s v="JAPAN"/>
    <n v="80"/>
    <n v="32000"/>
    <s v=" Cash"/>
    <s v="Remy Monet"/>
  </r>
  <r>
    <n v="10525"/>
    <d v="2023-06-22T00:00:00"/>
    <x v="13"/>
    <s v="Female"/>
    <x v="1"/>
    <s v="SPAIN"/>
    <n v="79.8"/>
    <n v="25536"/>
    <s v=" Cash"/>
    <s v="Remy Monet"/>
  </r>
  <r>
    <n v="10535"/>
    <d v="2023-06-24T00:00:00"/>
    <x v="14"/>
    <s v="Female"/>
    <x v="12"/>
    <s v="ITALIA"/>
    <n v="79.599999999999994"/>
    <n v="31839.999999999996"/>
    <s v=" Credit Card"/>
    <s v="Anna Perez"/>
  </r>
  <r>
    <n v="10461"/>
    <d v="2023-06-09T00:00:00"/>
    <x v="15"/>
    <s v="Male"/>
    <x v="13"/>
    <s v="JAPAN"/>
    <n v="76.000000000000014"/>
    <n v="30400.000000000007"/>
    <s v=" Credit Card"/>
    <s v="Remy Monet"/>
  </r>
  <r>
    <n v="10506"/>
    <d v="2023-06-18T00:00:00"/>
    <x v="16"/>
    <s v="Female"/>
    <x v="10"/>
    <s v="FRANCE"/>
    <n v="76.000000000000014"/>
    <n v="11400.000000000002"/>
    <s v=" Credit Card"/>
    <s v="Anna Perez"/>
  </r>
  <r>
    <n v="10531"/>
    <d v="2023-06-23T00:00:00"/>
    <x v="17"/>
    <s v="Female"/>
    <x v="14"/>
    <s v="ITALIA"/>
    <n v="76.000000000000014"/>
    <n v="30400.000000000007"/>
    <s v=" Cash"/>
    <s v="Remy Monet"/>
  </r>
  <r>
    <n v="10536"/>
    <d v="2023-06-24T00:00:00"/>
    <x v="18"/>
    <s v="Female"/>
    <x v="9"/>
    <s v="FRANCE"/>
    <n v="76.000000000000014"/>
    <n v="11400.000000000002"/>
    <s v=" Credit Card"/>
    <s v="Anna Perez"/>
  </r>
  <r>
    <n v="10541"/>
    <d v="2023-06-25T00:00:00"/>
    <x v="19"/>
    <s v="Female"/>
    <x v="15"/>
    <s v="ITALIA"/>
    <n v="76.000000000000014"/>
    <n v="24320.000000000004"/>
    <s v=" Credit Card"/>
    <s v="Tom Jackson"/>
  </r>
  <r>
    <n v="10546"/>
    <d v="2023-06-26T00:00:00"/>
    <x v="20"/>
    <s v="Male"/>
    <x v="16"/>
    <s v="JAPAN"/>
    <n v="76.000000000000014"/>
    <n v="24320.000000000004"/>
    <s v=" Credit Card"/>
    <s v="Tom Jackson"/>
  </r>
  <r>
    <n v="10501"/>
    <d v="2023-06-17T00:00:00"/>
    <x v="21"/>
    <s v="Male"/>
    <x v="17"/>
    <s v="SPAIN"/>
    <n v="76"/>
    <n v="24320"/>
    <s v=" Credit Card"/>
    <s v="Anna Perez"/>
  </r>
  <r>
    <n v="10456"/>
    <d v="2023-06-08T00:00:00"/>
    <x v="22"/>
    <s v="Male"/>
    <x v="3"/>
    <s v="UNITED NATION"/>
    <n v="75"/>
    <n v="24000"/>
    <s v=" Credit Card"/>
    <s v="Walter Muller"/>
  </r>
  <r>
    <n v="10457"/>
    <d v="2023-06-08T00:00:00"/>
    <x v="23"/>
    <s v="Male"/>
    <x v="3"/>
    <s v="UNITED NATION"/>
    <n v="75"/>
    <n v="30000"/>
    <s v=" Credit Card"/>
    <s v="Remy Monet"/>
  </r>
  <r>
    <n v="10463"/>
    <d v="2023-06-09T00:00:00"/>
    <x v="24"/>
    <s v="Female"/>
    <x v="8"/>
    <s v="JAPAN"/>
    <n v="75"/>
    <n v="11250"/>
    <s v=" Credit Card"/>
    <s v="Remy Monet"/>
  </r>
  <r>
    <n v="10468"/>
    <d v="2023-06-10T00:00:00"/>
    <x v="25"/>
    <s v="Female"/>
    <x v="18"/>
    <s v="FRANCE"/>
    <n v="75"/>
    <n v="11250"/>
    <s v=" Credit Card"/>
    <s v="Anna Perez"/>
  </r>
  <r>
    <n v="10470"/>
    <d v="2023-06-11T00:00:00"/>
    <x v="26"/>
    <s v="Male"/>
    <x v="7"/>
    <s v="FRANCE"/>
    <n v="75"/>
    <n v="18750"/>
    <s v=" Credit Card"/>
    <s v="Anna Perez"/>
  </r>
  <r>
    <n v="10473"/>
    <d v="2023-06-11T00:00:00"/>
    <x v="27"/>
    <s v="Male"/>
    <x v="19"/>
    <s v="UNITED NATION"/>
    <n v="75"/>
    <n v="18750"/>
    <s v=" Credit Card"/>
    <s v="Anna Perez"/>
  </r>
  <r>
    <n v="10478"/>
    <d v="2023-06-12T00:00:00"/>
    <x v="28"/>
    <s v="Male"/>
    <x v="20"/>
    <s v="JAPAN"/>
    <n v="75"/>
    <n v="18750"/>
    <s v=" Credit Card"/>
    <s v="Anna Perez"/>
  </r>
  <r>
    <n v="10481"/>
    <d v="2023-06-13T00:00:00"/>
    <x v="29"/>
    <s v="Male"/>
    <x v="18"/>
    <s v="SPAIN"/>
    <n v="75"/>
    <n v="18750"/>
    <s v=" Credit Card"/>
    <s v="Anna Perez"/>
  </r>
  <r>
    <n v="10510"/>
    <d v="2023-06-13T00:00:00"/>
    <x v="29"/>
    <s v="Male"/>
    <x v="18"/>
    <s v="SPAIN"/>
    <n v="75"/>
    <n v="30000"/>
    <s v=" Credit Card"/>
    <s v="Anna Perez"/>
  </r>
  <r>
    <n v="10529"/>
    <d v="2023-06-19T00:00:00"/>
    <x v="30"/>
    <s v="Female"/>
    <x v="1"/>
    <s v="UNITED NATIONA"/>
    <n v="75"/>
    <n v="11250"/>
    <s v=" Credit Card"/>
    <s v="Anna Perez"/>
  </r>
  <r>
    <n v="10476"/>
    <d v="2023-06-22T00:00:00"/>
    <x v="31"/>
    <s v="Female"/>
    <x v="20"/>
    <s v="ITALIA"/>
    <n v="73.98"/>
    <n v="23673.600000000002"/>
    <s v=" Cash"/>
    <s v="Remy Monet"/>
  </r>
  <r>
    <n v="10487"/>
    <d v="2023-06-12T00:00:00"/>
    <x v="32"/>
    <s v="Male"/>
    <x v="21"/>
    <s v="FRANCE"/>
    <n v="70"/>
    <n v="17500"/>
    <s v=" Credit Card"/>
    <s v="Anna Perez"/>
  </r>
  <r>
    <n v="10509"/>
    <d v="2023-06-14T00:00:00"/>
    <x v="33"/>
    <s v="Male"/>
    <x v="22"/>
    <s v="UNITED NATION"/>
    <n v="70"/>
    <n v="22400"/>
    <s v=" Credit Card"/>
    <s v="Jenna Silva"/>
  </r>
  <r>
    <n v="10500"/>
    <d v="2023-06-18T00:00:00"/>
    <x v="34"/>
    <s v="Female"/>
    <x v="5"/>
    <s v="FRANCE"/>
    <n v="70"/>
    <n v="22400"/>
    <s v=" Credit Card"/>
    <s v="Anna Perez"/>
  </r>
  <r>
    <n v="10515"/>
    <d v="2023-06-17T00:00:00"/>
    <x v="35"/>
    <s v="Male"/>
    <x v="16"/>
    <s v="SPAIN"/>
    <n v="67"/>
    <n v="26800"/>
    <s v=" Credit Card"/>
    <s v="Anna Perez"/>
  </r>
  <r>
    <n v="10516"/>
    <d v="2023-06-20T00:00:00"/>
    <x v="36"/>
    <s v="Female"/>
    <x v="2"/>
    <s v="UNITED NATIONA"/>
    <n v="63"/>
    <n v="9450"/>
    <s v=" Cash"/>
    <s v="Jenna Silva"/>
  </r>
  <r>
    <n v="10483"/>
    <d v="2023-06-20T00:00:00"/>
    <x v="37"/>
    <s v="Female"/>
    <x v="0"/>
    <s v="UNITED NATIONA"/>
    <n v="63"/>
    <n v="20160"/>
    <s v=" Cash"/>
    <s v="Jenna Silva"/>
  </r>
  <r>
    <n v="10475"/>
    <d v="2023-06-13T00:00:00"/>
    <x v="38"/>
    <s v="Female"/>
    <x v="21"/>
    <s v="UNITED NATIONA"/>
    <n v="63"/>
    <n v="9450"/>
    <s v=" Credit Card"/>
    <s v="Jenna Silva"/>
  </r>
  <r>
    <n v="10480"/>
    <d v="2023-06-10T00:00:00"/>
    <x v="39"/>
    <s v="Male"/>
    <x v="14"/>
    <s v="FRANCE"/>
    <n v="60"/>
    <n v="24000"/>
    <s v=" Credit Card"/>
    <s v="Anna Perez"/>
  </r>
  <r>
    <n v="10495"/>
    <d v="2023-06-12T00:00:00"/>
    <x v="40"/>
    <s v="Male"/>
    <x v="23"/>
    <s v="FRANCE"/>
    <n v="60"/>
    <n v="19200"/>
    <s v=" Credit Card"/>
    <s v="Anna Perez"/>
  </r>
  <r>
    <n v="10484"/>
    <d v="2023-06-13T00:00:00"/>
    <x v="41"/>
    <s v="Male"/>
    <x v="21"/>
    <s v="SPAIN"/>
    <n v="60"/>
    <n v="15000"/>
    <s v=" Credit Card"/>
    <s v="Anna Perez"/>
  </r>
  <r>
    <n v="10543"/>
    <d v="2023-06-16T00:00:00"/>
    <x v="42"/>
    <s v="Male"/>
    <x v="24"/>
    <s v="UNITED NATION"/>
    <n v="60"/>
    <n v="9000"/>
    <s v=" Credit Card"/>
    <s v="Anna Perez"/>
  </r>
  <r>
    <n v="10466"/>
    <d v="2023-06-13T00:00:00"/>
    <x v="43"/>
    <s v="Female"/>
    <x v="12"/>
    <s v="UNITED NATIONA"/>
    <n v="60"/>
    <n v="9000"/>
    <s v=" Credit Card"/>
    <s v="Jenna Silva"/>
  </r>
  <r>
    <n v="10467"/>
    <d v="2023-06-25T00:00:00"/>
    <x v="44"/>
    <s v="Female"/>
    <x v="0"/>
    <s v="ENGLAND"/>
    <n v="59.8"/>
    <n v="23920"/>
    <s v=" Credit Card"/>
    <s v="Tom Jackson"/>
  </r>
  <r>
    <n v="10532"/>
    <d v="2023-06-10T00:00:00"/>
    <x v="45"/>
    <s v="Male"/>
    <x v="25"/>
    <s v="FRANCE"/>
    <n v="50"/>
    <n v="12500"/>
    <s v=" Credit Card"/>
    <s v="Anna Perez"/>
  </r>
  <r>
    <n v="10533"/>
    <d v="2023-06-10T00:00:00"/>
    <x v="46"/>
    <s v="Male"/>
    <x v="26"/>
    <s v="FRANCE"/>
    <n v="50"/>
    <n v="20000"/>
    <s v=" Credit Card"/>
    <s v="Anna Perez"/>
  </r>
  <r>
    <n v="10527"/>
    <d v="2023-06-23T00:00:00"/>
    <x v="47"/>
    <s v="Female"/>
    <x v="27"/>
    <s v="ITALIA"/>
    <n v="45.6"/>
    <n v="18240"/>
    <s v=" Cash"/>
    <s v="Jenna Silva"/>
  </r>
  <r>
    <n v="10528"/>
    <d v="2023-06-23T00:00:00"/>
    <x v="48"/>
    <s v="Female"/>
    <x v="25"/>
    <s v="ITALIA"/>
    <n v="45.6"/>
    <n v="18240"/>
    <s v=" Cash"/>
    <s v="Jenna Silva"/>
  </r>
  <r>
    <n v="10496"/>
    <d v="2023-06-22T00:00:00"/>
    <x v="49"/>
    <s v="Female"/>
    <x v="28"/>
    <s v="ITALIA"/>
    <n v="45"/>
    <n v="18000"/>
    <s v=" Cash"/>
    <s v="Remy Monet"/>
  </r>
  <r>
    <n v="10498"/>
    <d v="2023-06-22T00:00:00"/>
    <x v="50"/>
    <s v="Female"/>
    <x v="3"/>
    <s v="ITALIA"/>
    <n v="45"/>
    <n v="6750"/>
    <s v=" Cash"/>
    <s v="Remy Monet"/>
  </r>
  <r>
    <n v="10512"/>
    <d v="2023-06-16T00:00:00"/>
    <x v="51"/>
    <s v="Male"/>
    <x v="29"/>
    <s v="UNITED NATION"/>
    <n v="44"/>
    <n v="6600"/>
    <s v=" Credit Card"/>
    <s v="Anna Perez"/>
  </r>
  <r>
    <n v="10513"/>
    <d v="2023-06-16T00:00:00"/>
    <x v="52"/>
    <s v="Male"/>
    <x v="30"/>
    <s v="UNITED NATION"/>
    <n v="44"/>
    <n v="6600"/>
    <s v=" Credit Card"/>
    <s v="Anna Perez"/>
  </r>
  <r>
    <n v="10474"/>
    <d v="2023-06-19T00:00:00"/>
    <x v="53"/>
    <s v="Female"/>
    <x v="25"/>
    <s v="UNITED NATIONA"/>
    <n v="43"/>
    <n v="13760"/>
    <s v=" Credit Card"/>
    <s v="Jenna Silva"/>
  </r>
  <r>
    <n v="10479"/>
    <d v="2023-06-19T00:00:00"/>
    <x v="54"/>
    <s v="Female"/>
    <x v="5"/>
    <s v="UNITED NATIONA"/>
    <n v="42"/>
    <n v="10500"/>
    <s v=" Cash"/>
    <s v="Jenna Silva"/>
  </r>
  <r>
    <n v="10488"/>
    <d v="2023-06-11T00:00:00"/>
    <x v="55"/>
    <s v="Male"/>
    <x v="31"/>
    <s v="UNITED NATION"/>
    <n v="40"/>
    <n v="6000"/>
    <s v=" Credit Card"/>
    <s v="Anna Perez"/>
  </r>
  <r>
    <n v="10526"/>
    <d v="2023-06-12T00:00:00"/>
    <x v="56"/>
    <s v="Male"/>
    <x v="25"/>
    <s v="JAPAN"/>
    <n v="40"/>
    <n v="10000"/>
    <s v=" Credit Card"/>
    <s v="Anna Perez"/>
  </r>
  <r>
    <n v="10548"/>
    <d v="2023-06-14T00:00:00"/>
    <x v="57"/>
    <s v="Male"/>
    <x v="32"/>
    <s v="UNITED NATION"/>
    <n v="40"/>
    <n v="6000"/>
    <s v=" Credit Card"/>
    <s v="Jenna Silva"/>
  </r>
  <r>
    <n v="10508"/>
    <d v="2023-06-22T00:00:00"/>
    <x v="58"/>
    <s v="Female"/>
    <x v="32"/>
    <s v="ITALIA"/>
    <n v="39.799999999999997"/>
    <n v="15919.999999999998"/>
    <s v=" Cash"/>
    <s v="Remy Monet"/>
  </r>
  <r>
    <n v="10505"/>
    <d v="2023-06-26T00:00:00"/>
    <x v="59"/>
    <s v="Male"/>
    <x v="31"/>
    <s v="ENGLAND"/>
    <n v="39.799999999999997"/>
    <n v="5970"/>
    <s v=" Credit Card"/>
    <s v="Tom Jackson"/>
  </r>
  <r>
    <n v="10524"/>
    <d v="2023-06-18T00:00:00"/>
    <x v="60"/>
    <s v="Female"/>
    <x v="26"/>
    <s v="FRANCE"/>
    <n v="39"/>
    <n v="5850"/>
    <s v=" Credit Card"/>
    <s v="Anna Perez"/>
  </r>
  <r>
    <n v="10459"/>
    <d v="2023-06-14T00:00:00"/>
    <x v="61"/>
    <s v="Male"/>
    <x v="33"/>
    <s v="UNITED NATION"/>
    <n v="38"/>
    <n v="15200"/>
    <s v=" Credit Card"/>
    <s v="Jenna Silva"/>
  </r>
  <r>
    <n v="10494"/>
    <d v="2023-06-18T00:00:00"/>
    <x v="62"/>
    <s v="Female"/>
    <x v="33"/>
    <s v="FRANCE"/>
    <n v="38"/>
    <n v="9500"/>
    <s v=" Credit Card"/>
    <s v="Anna Perez"/>
  </r>
  <r>
    <n v="10504"/>
    <d v="2023-06-21T00:00:00"/>
    <x v="63"/>
    <s v="Female"/>
    <x v="23"/>
    <s v="JAPAN"/>
    <n v="38"/>
    <n v="5700"/>
    <s v=" Cash"/>
    <s v="Remy Monet"/>
  </r>
  <r>
    <n v="10514"/>
    <d v="2023-06-08T00:00:00"/>
    <x v="64"/>
    <s v="Female"/>
    <x v="34"/>
    <s v="SPAIN"/>
    <n v="37.999999999999993"/>
    <n v="5699.9999999999991"/>
    <s v=" Credit Card"/>
    <s v="Walter Muller"/>
  </r>
  <r>
    <n v="10539"/>
    <d v="2023-06-15T00:00:00"/>
    <x v="65"/>
    <s v="Male"/>
    <x v="35"/>
    <s v="UNITED NATION"/>
    <n v="37.999999999999993"/>
    <n v="12159.999999999998"/>
    <s v=" Credit Card"/>
    <s v="Anna Perez"/>
  </r>
  <r>
    <n v="10544"/>
    <d v="2023-06-17T00:00:00"/>
    <x v="66"/>
    <s v="Male"/>
    <x v="35"/>
    <s v="FRANCE"/>
    <n v="37.999999999999993"/>
    <n v="12159.999999999998"/>
    <s v=" Credit Card"/>
    <s v="Anna Perez"/>
  </r>
  <r>
    <n v="10549"/>
    <d v="2023-06-19T00:00:00"/>
    <x v="67"/>
    <s v="Female"/>
    <x v="31"/>
    <s v="UNITED NATIONA"/>
    <n v="37.999999999999993"/>
    <n v="5699.9999999999991"/>
    <s v=" Cash"/>
    <s v="Jenna Silva"/>
  </r>
  <r>
    <n v="10472"/>
    <d v="2023-06-24T00:00:00"/>
    <x v="68"/>
    <s v="Female"/>
    <x v="0"/>
    <s v="ENGLAND"/>
    <n v="37.999999999999993"/>
    <n v="12159.999999999998"/>
    <s v=" Credit Card"/>
    <s v="Anna Perez"/>
  </r>
  <r>
    <n v="10499"/>
    <d v="2023-06-25T00:00:00"/>
    <x v="69"/>
    <s v="Female"/>
    <x v="36"/>
    <s v="ITALIA"/>
    <n v="37.999999999999993"/>
    <n v="5699.9999999999991"/>
    <s v=" Credit Card"/>
    <s v="Tom Jackson"/>
  </r>
  <r>
    <n v="10455"/>
    <d v="2023-06-26T00:00:00"/>
    <x v="70"/>
    <s v="Male"/>
    <x v="21"/>
    <s v="UNITED NATION"/>
    <n v="37.999999999999993"/>
    <n v="15199.999999999996"/>
    <s v=" Credit Card"/>
    <s v="Tom Jackson"/>
  </r>
  <r>
    <n v="10522"/>
    <d v="2023-06-11T00:00:00"/>
    <x v="71"/>
    <s v="Male"/>
    <x v="37"/>
    <s v="UNITED NATION"/>
    <n v="35"/>
    <n v="11200"/>
    <s v=" Credit Card"/>
    <s v="Anna Perez"/>
  </r>
  <r>
    <n v="10452"/>
    <d v="2023-06-16T00:00:00"/>
    <x v="72"/>
    <s v="Male"/>
    <x v="26"/>
    <s v="UNITED NATION"/>
    <n v="33"/>
    <n v="4950"/>
    <s v=" Credit Card"/>
    <s v="Anna Perez"/>
  </r>
  <r>
    <n v="10460"/>
    <d v="2023-06-08T00:00:00"/>
    <x v="73"/>
    <s v="Female"/>
    <x v="34"/>
    <s v="ENGLAND"/>
    <n v="28"/>
    <n v="11200"/>
    <s v=" Credit Card"/>
    <s v="Walter Muller"/>
  </r>
  <r>
    <n v="10462"/>
    <d v="2023-06-21T00:00:00"/>
    <x v="74"/>
    <s v="Female"/>
    <x v="38"/>
    <s v="JAPAN"/>
    <n v="27"/>
    <n v="8640"/>
    <s v=" Cash"/>
    <s v="Remy Monet"/>
  </r>
  <r>
    <n v="10464"/>
    <d v="2023-06-07T00:00:00"/>
    <x v="75"/>
    <s v="Male"/>
    <x v="35"/>
    <s v="ENGLAND"/>
    <n v="25"/>
    <n v="3750"/>
    <s v=" Gift Card"/>
    <s v="Tom Jackson"/>
  </r>
  <r>
    <n v="10454"/>
    <d v="2023-06-08T00:00:00"/>
    <x v="76"/>
    <s v="Male"/>
    <x v="30"/>
    <s v="UNITED NATION"/>
    <n v="25"/>
    <n v="6250"/>
    <s v=" Credit Card"/>
    <s v="Remy Monet"/>
  </r>
  <r>
    <n v="10471"/>
    <d v="2023-06-09T00:00:00"/>
    <x v="77"/>
    <s v="Female"/>
    <x v="39"/>
    <s v="JAPAN"/>
    <n v="25"/>
    <n v="8000"/>
    <s v=" Credit Card"/>
    <s v="Remy Monet"/>
  </r>
  <r>
    <n v="10482"/>
    <d v="2023-06-09T00:00:00"/>
    <x v="78"/>
    <s v="Male"/>
    <x v="27"/>
    <s v="SPAIN"/>
    <n v="25"/>
    <n v="10000"/>
    <s v=" Credit Card"/>
    <s v="Remy Monet"/>
  </r>
  <r>
    <n v="10492"/>
    <d v="2023-06-09T00:00:00"/>
    <x v="79"/>
    <s v="Male"/>
    <x v="40"/>
    <s v="SPAIN"/>
    <n v="25"/>
    <n v="8000"/>
    <s v=" Credit Card"/>
    <s v="Remy Monet"/>
  </r>
  <r>
    <n v="10493"/>
    <d v="2023-06-07T00:00:00"/>
    <x v="80"/>
    <s v="Female"/>
    <x v="41"/>
    <s v="ENGLAND"/>
    <n v="25"/>
    <n v="6250"/>
    <s v=" Gift Card"/>
    <s v="Jenna Silva"/>
  </r>
  <r>
    <n v="10497"/>
    <d v="2023-06-11T00:00:00"/>
    <x v="81"/>
    <s v="Female"/>
    <x v="35"/>
    <s v="FRANCE"/>
    <n v="25"/>
    <n v="3750"/>
    <s v=" Credit Card"/>
    <s v="Anna Perez"/>
  </r>
  <r>
    <n v="10503"/>
    <d v="2023-06-13T00:00:00"/>
    <x v="82"/>
    <s v="Male"/>
    <x v="32"/>
    <s v="JAPAN"/>
    <n v="25"/>
    <n v="6250"/>
    <s v=" Credit Card"/>
    <s v="Jenna Silva"/>
  </r>
  <r>
    <n v="10511"/>
    <d v="2023-06-13T00:00:00"/>
    <x v="83"/>
    <s v="Male"/>
    <x v="39"/>
    <s v="SPAIN"/>
    <n v="25"/>
    <n v="8000"/>
    <s v=" Credit Card"/>
    <s v="Jenna Silva"/>
  </r>
  <r>
    <n v="10521"/>
    <d v="2023-06-15T00:00:00"/>
    <x v="84"/>
    <s v="Male"/>
    <x v="37"/>
    <s v="DENMARK"/>
    <n v="25"/>
    <n v="3750"/>
    <s v=" Credit Card"/>
    <s v="Anna Perez"/>
  </r>
  <r>
    <n v="10530"/>
    <d v="2023-06-15T00:00:00"/>
    <x v="85"/>
    <s v="Male"/>
    <x v="30"/>
    <s v="UNITED NATION"/>
    <n v="25"/>
    <n v="3750"/>
    <s v=" Credit Card"/>
    <s v="Anna Perez"/>
  </r>
  <r>
    <n v="10540"/>
    <d v="2023-06-16T00:00:00"/>
    <x v="86"/>
    <s v="Male"/>
    <x v="34"/>
    <s v="UNITED NATION"/>
    <n v="25"/>
    <n v="8000"/>
    <s v=" Credit Card"/>
    <s v="Anna Perez"/>
  </r>
  <r>
    <n v="10520"/>
    <d v="2023-06-17T00:00:00"/>
    <x v="87"/>
    <s v="Male"/>
    <x v="28"/>
    <s v="FRANCE"/>
    <n v="25"/>
    <n v="8000"/>
    <s v=" Credit Card"/>
    <s v="Anna Perez"/>
  </r>
  <r>
    <n v="10545"/>
    <d v="2023-06-19T00:00:00"/>
    <x v="88"/>
    <s v="Female"/>
    <x v="42"/>
    <s v="UNITED NATIONA"/>
    <n v="25"/>
    <n v="3750"/>
    <s v=" Credit Card"/>
    <s v="Jenna Silva"/>
  </r>
  <r>
    <n v="10489"/>
    <d v="2023-06-21T00:00:00"/>
    <x v="89"/>
    <s v="Female"/>
    <x v="38"/>
    <s v="JAPAN"/>
    <n v="25"/>
    <n v="10000"/>
    <s v=" Cash"/>
    <s v="Remy Monet"/>
  </r>
  <r>
    <m/>
    <d v="2023-06-23T00:00:00"/>
    <x v="90"/>
    <s v="Female"/>
    <x v="38"/>
    <s v="ITALIA"/>
    <n v="23.56"/>
    <n v="7539.2"/>
    <s v=" Cash"/>
    <s v="Remy Monet"/>
  </r>
  <r>
    <m/>
    <d v="2023-06-25T00:00:00"/>
    <x v="91"/>
    <s v="Female"/>
    <x v="20"/>
    <s v="ITALIA"/>
    <n v="23.56"/>
    <n v="5890"/>
    <s v=" Credit Card"/>
    <s v="Anna Perez"/>
  </r>
  <r>
    <m/>
    <d v="2023-06-21T00:00:00"/>
    <x v="92"/>
    <s v="Female"/>
    <x v="38"/>
    <s v="JAPAN"/>
    <n v="23"/>
    <n v="9200"/>
    <s v=" Cash"/>
    <s v="Remy Monet"/>
  </r>
  <r>
    <m/>
    <d v="2023-06-26T00:00:00"/>
    <x v="93"/>
    <s v="Female"/>
    <x v="39"/>
    <s v="JAPAN"/>
    <n v="22.04"/>
    <n v="8816"/>
    <s v=" Credit Card"/>
    <s v="Tom Jackson"/>
  </r>
  <r>
    <m/>
    <d v="2023-06-14T00:00:00"/>
    <x v="94"/>
    <s v="Male"/>
    <x v="30"/>
    <s v="SPAIN"/>
    <n v="20"/>
    <n v="6400"/>
    <s v=" Credit Card"/>
    <s v="Anna Perez"/>
  </r>
  <r>
    <m/>
    <d v="2023-06-07T00:00:00"/>
    <x v="80"/>
    <s v="Female"/>
    <x v="41"/>
    <s v="ENGLAND"/>
    <n v="15"/>
    <n v="2250"/>
    <s v=" Gift Card"/>
    <s v="Jenna Silva"/>
  </r>
  <r>
    <m/>
    <d v="2023-06-07T00:00:00"/>
    <x v="80"/>
    <s v="Female"/>
    <x v="41"/>
    <s v="ENGLAND"/>
    <n v="10"/>
    <n v="2500"/>
    <s v=" Gift Card"/>
    <s v="Jenna Silv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0507"/>
    <d v="2023-06-18T00:00:00"/>
    <x v="0"/>
    <s v="Female"/>
    <n v="55"/>
    <s v="FRANCE"/>
    <n v="400"/>
    <n v="91"/>
    <n v="36400"/>
    <s v=" Credit Card"/>
    <x v="0"/>
  </r>
  <r>
    <n v="10534"/>
    <d v="2023-06-23T00:00:00"/>
    <x v="1"/>
    <s v="Female"/>
    <n v="60"/>
    <s v="ITALIA"/>
    <n v="400"/>
    <n v="84"/>
    <n v="33440"/>
    <s v=" Cash"/>
    <x v="0"/>
  </r>
  <r>
    <n v="10537"/>
    <d v="2023-06-24T00:00:00"/>
    <x v="2"/>
    <s v="Female"/>
    <n v="58"/>
    <s v="FRANCE"/>
    <n v="320"/>
    <n v="84"/>
    <n v="26752"/>
    <s v=" Credit Card"/>
    <x v="0"/>
  </r>
  <r>
    <n v="10538"/>
    <d v="2023-06-24T00:00:00"/>
    <x v="3"/>
    <s v="Female"/>
    <n v="49"/>
    <s v="FRANCE"/>
    <n v="320"/>
    <n v="84"/>
    <n v="26752"/>
    <s v=" Credit Card"/>
    <x v="0"/>
  </r>
  <r>
    <n v="10542"/>
    <d v="2023-06-25T00:00:00"/>
    <x v="4"/>
    <s v="Female"/>
    <n v="42"/>
    <s v="ITALIA"/>
    <n v="400"/>
    <n v="84"/>
    <n v="33440"/>
    <s v=" Credit Card"/>
    <x v="1"/>
  </r>
  <r>
    <n v="10547"/>
    <d v="2023-06-26T00:00:00"/>
    <x v="5"/>
    <s v="Male"/>
    <n v="51"/>
    <s v="ENGLANG"/>
    <n v="250"/>
    <n v="84"/>
    <n v="20900"/>
    <s v=" Credit Card"/>
    <x v="1"/>
  </r>
  <r>
    <n v="10485"/>
    <d v="2023-06-14T00:00:00"/>
    <x v="6"/>
    <s v="Female"/>
    <n v="51"/>
    <s v="JAPAN"/>
    <n v="320"/>
    <n v="82"/>
    <n v="26240"/>
    <s v=" Credit Card"/>
    <x v="2"/>
  </r>
  <r>
    <n v="10453"/>
    <d v="2023-06-07T00:00:00"/>
    <x v="7"/>
    <s v="Male"/>
    <n v="50"/>
    <s v="SPAIN"/>
    <n v="250"/>
    <n v="80"/>
    <n v="20000"/>
    <s v=" Gift Card"/>
    <x v="0"/>
  </r>
  <r>
    <n v="10477"/>
    <d v="2023-06-12T00:00:00"/>
    <x v="8"/>
    <s v="Male"/>
    <n v="59"/>
    <s v="FRANCE"/>
    <n v="150"/>
    <n v="80"/>
    <n v="12000"/>
    <s v=" Credit Card"/>
    <x v="0"/>
  </r>
  <r>
    <n v="10486"/>
    <d v="2023-06-14T00:00:00"/>
    <x v="9"/>
    <s v="Male"/>
    <n v="48"/>
    <s v="UNITED STATED"/>
    <n v="150"/>
    <n v="80"/>
    <n v="12000"/>
    <s v=" Credit Card"/>
    <x v="2"/>
  </r>
  <r>
    <n v="10490"/>
    <d v="2023-06-15T00:00:00"/>
    <x v="10"/>
    <s v="Male"/>
    <n v="45"/>
    <s v="JAPAN"/>
    <n v="150"/>
    <n v="80"/>
    <n v="12000"/>
    <s v=" Credit Card"/>
    <x v="0"/>
  </r>
  <r>
    <n v="10502"/>
    <d v="2023-06-17T00:00:00"/>
    <x v="11"/>
    <s v="Male"/>
    <n v="56"/>
    <s v="SPAIN"/>
    <n v="320"/>
    <n v="80"/>
    <n v="25600"/>
    <s v=" Credit Card"/>
    <x v="0"/>
  </r>
  <r>
    <n v="10523"/>
    <d v="2023-06-21T00:00:00"/>
    <x v="12"/>
    <s v="Female"/>
    <n v="47"/>
    <s v="JAPAN"/>
    <n v="400"/>
    <n v="80"/>
    <n v="32000"/>
    <s v=" Cash"/>
    <x v="3"/>
  </r>
  <r>
    <n v="10525"/>
    <d v="2023-06-22T00:00:00"/>
    <x v="13"/>
    <s v="Female"/>
    <n v="60"/>
    <s v="SPAIN"/>
    <n v="320"/>
    <n v="80"/>
    <n v="25536"/>
    <s v=" Cash"/>
    <x v="3"/>
  </r>
  <r>
    <n v="10535"/>
    <d v="2023-06-24T00:00:00"/>
    <x v="14"/>
    <s v="Female"/>
    <n v="44"/>
    <s v="ITALIA"/>
    <n v="400"/>
    <n v="80"/>
    <n v="31839.999999999996"/>
    <s v=" Credit Card"/>
    <x v="0"/>
  </r>
  <r>
    <n v="10461"/>
    <d v="2023-06-09T00:00:00"/>
    <x v="15"/>
    <s v="Male"/>
    <n v="57"/>
    <s v="JAPAN"/>
    <n v="400"/>
    <n v="76"/>
    <n v="30400.000000000007"/>
    <s v=" Credit Card"/>
    <x v="3"/>
  </r>
  <r>
    <n v="10506"/>
    <d v="2023-06-18T00:00:00"/>
    <x v="16"/>
    <s v="Female"/>
    <n v="56"/>
    <s v="FRANCE"/>
    <n v="150"/>
    <n v="76"/>
    <n v="11400.000000000002"/>
    <s v=" Credit Card"/>
    <x v="0"/>
  </r>
  <r>
    <n v="10531"/>
    <d v="2023-06-23T00:00:00"/>
    <x v="17"/>
    <s v="Female"/>
    <n v="53"/>
    <s v="ITALIA"/>
    <n v="400"/>
    <n v="76"/>
    <n v="30400.000000000007"/>
    <s v=" Cash"/>
    <x v="3"/>
  </r>
  <r>
    <n v="10536"/>
    <d v="2023-06-24T00:00:00"/>
    <x v="18"/>
    <s v="Female"/>
    <n v="45"/>
    <s v="FRANCE"/>
    <n v="150"/>
    <n v="76"/>
    <n v="11400.000000000002"/>
    <s v=" Credit Card"/>
    <x v="0"/>
  </r>
  <r>
    <n v="10541"/>
    <d v="2023-06-25T00:00:00"/>
    <x v="19"/>
    <s v="Female"/>
    <n v="68"/>
    <s v="ITALIA"/>
    <n v="320"/>
    <n v="76"/>
    <n v="24320.000000000004"/>
    <s v=" Credit Card"/>
    <x v="1"/>
  </r>
  <r>
    <n v="10546"/>
    <d v="2023-06-26T00:00:00"/>
    <x v="20"/>
    <s v="Male"/>
    <n v="54"/>
    <s v="JAPAN"/>
    <n v="320"/>
    <n v="76"/>
    <n v="24320.000000000004"/>
    <s v=" Credit Card"/>
    <x v="1"/>
  </r>
  <r>
    <n v="10501"/>
    <d v="2023-06-17T00:00:00"/>
    <x v="21"/>
    <s v="Male"/>
    <n v="40"/>
    <s v="SPAIN"/>
    <n v="320"/>
    <n v="76"/>
    <n v="24320"/>
    <s v=" Credit Card"/>
    <x v="0"/>
  </r>
  <r>
    <n v="10456"/>
    <d v="2023-06-08T00:00:00"/>
    <x v="22"/>
    <s v="Male"/>
    <n v="49"/>
    <s v="UNITED STATED"/>
    <n v="320"/>
    <n v="75"/>
    <n v="24000"/>
    <s v=" Credit Card"/>
    <x v="4"/>
  </r>
  <r>
    <n v="10457"/>
    <d v="2023-06-08T00:00:00"/>
    <x v="23"/>
    <s v="Male"/>
    <n v="49"/>
    <s v="UNITED STATED"/>
    <n v="400"/>
    <n v="75"/>
    <n v="30000"/>
    <s v=" Credit Card"/>
    <x v="3"/>
  </r>
  <r>
    <n v="10463"/>
    <d v="2023-06-09T00:00:00"/>
    <x v="24"/>
    <s v="Female"/>
    <n v="48"/>
    <s v="JAPAN"/>
    <n v="150"/>
    <n v="75"/>
    <n v="11250"/>
    <s v=" Credit Card"/>
    <x v="3"/>
  </r>
  <r>
    <n v="10468"/>
    <d v="2023-06-10T00:00:00"/>
    <x v="25"/>
    <s v="Female"/>
    <n v="67"/>
    <s v="FRANCE"/>
    <n v="150"/>
    <n v="75"/>
    <n v="11250"/>
    <s v=" Credit Card"/>
    <x v="0"/>
  </r>
  <r>
    <n v="10470"/>
    <d v="2023-06-11T00:00:00"/>
    <x v="26"/>
    <s v="Male"/>
    <n v="59"/>
    <s v="FRANCE"/>
    <n v="250"/>
    <n v="75"/>
    <n v="18750"/>
    <s v=" Credit Card"/>
    <x v="0"/>
  </r>
  <r>
    <n v="10473"/>
    <d v="2023-06-11T00:00:00"/>
    <x v="27"/>
    <s v="Male"/>
    <n v="63"/>
    <s v="UNITED STATED"/>
    <n v="250"/>
    <n v="75"/>
    <n v="18750"/>
    <s v=" Credit Card"/>
    <x v="0"/>
  </r>
  <r>
    <n v="10478"/>
    <d v="2023-06-12T00:00:00"/>
    <x v="28"/>
    <s v="Male"/>
    <n v="62"/>
    <s v="JAPAN"/>
    <n v="250"/>
    <n v="75"/>
    <n v="18750"/>
    <s v=" Credit Card"/>
    <x v="0"/>
  </r>
  <r>
    <n v="10481"/>
    <d v="2023-06-13T00:00:00"/>
    <x v="28"/>
    <s v="Male"/>
    <n v="67"/>
    <s v="SPAIN"/>
    <n v="250"/>
    <n v="75"/>
    <n v="18750"/>
    <s v=" Credit Card"/>
    <x v="0"/>
  </r>
  <r>
    <n v="10481"/>
    <d v="2023-06-13T00:00:00"/>
    <x v="29"/>
    <s v="Male"/>
    <n v="67"/>
    <s v="SPAIN"/>
    <n v="400"/>
    <n v="75"/>
    <n v="30000"/>
    <s v=" Credit Card"/>
    <x v="0"/>
  </r>
  <r>
    <n v="10510"/>
    <d v="2023-06-19T00:00:00"/>
    <x v="30"/>
    <s v="Female"/>
    <n v="60"/>
    <s v="UNITED STATEDA"/>
    <n v="150"/>
    <n v="75"/>
    <n v="11250"/>
    <s v=" Credit Card"/>
    <x v="0"/>
  </r>
  <r>
    <n v="10529"/>
    <d v="2023-06-22T00:00:00"/>
    <x v="31"/>
    <s v="Female"/>
    <n v="62"/>
    <s v="ITALIA"/>
    <n v="320"/>
    <n v="74"/>
    <n v="23673.600000000002"/>
    <s v=" Cash"/>
    <x v="3"/>
  </r>
  <r>
    <n v="10476"/>
    <d v="2023-06-12T00:00:00"/>
    <x v="32"/>
    <s v="Male"/>
    <n v="52"/>
    <s v="FRANCE"/>
    <n v="250"/>
    <n v="70"/>
    <n v="17500"/>
    <s v=" Credit Card"/>
    <x v="0"/>
  </r>
  <r>
    <n v="10487"/>
    <d v="2023-06-14T00:00:00"/>
    <x v="33"/>
    <s v="Male"/>
    <n v="41"/>
    <s v="UNITED STATED"/>
    <n v="320"/>
    <n v="70"/>
    <n v="22400"/>
    <s v=" Credit Card"/>
    <x v="2"/>
  </r>
  <r>
    <n v="10509"/>
    <d v="2023-06-18T00:00:00"/>
    <x v="34"/>
    <s v="Female"/>
    <n v="51"/>
    <s v="FRANCE"/>
    <n v="320"/>
    <n v="70"/>
    <n v="22400"/>
    <s v=" Credit Card"/>
    <x v="0"/>
  </r>
  <r>
    <n v="10500"/>
    <d v="2023-06-17T00:00:00"/>
    <x v="35"/>
    <s v="Male"/>
    <n v="54"/>
    <s v="SPAIN"/>
    <n v="400"/>
    <n v="67"/>
    <n v="26800"/>
    <s v=" Credit Card"/>
    <x v="0"/>
  </r>
  <r>
    <n v="10515"/>
    <d v="2023-06-20T00:00:00"/>
    <x v="36"/>
    <s v="Female"/>
    <n v="58"/>
    <s v="UNITED STATEDA"/>
    <n v="150"/>
    <n v="63"/>
    <n v="9450"/>
    <s v=" Cash"/>
    <x v="2"/>
  </r>
  <r>
    <n v="10516"/>
    <d v="2023-06-20T00:00:00"/>
    <x v="37"/>
    <s v="Female"/>
    <n v="55"/>
    <s v="UNITED STATEDA"/>
    <n v="320"/>
    <n v="63"/>
    <n v="20160"/>
    <s v=" Cash"/>
    <x v="2"/>
  </r>
  <r>
    <n v="10483"/>
    <d v="2023-06-13T00:00:00"/>
    <x v="38"/>
    <s v="Female"/>
    <n v="52"/>
    <s v="UNITED STATEDA"/>
    <n v="150"/>
    <n v="63"/>
    <n v="9450"/>
    <s v=" Credit Card"/>
    <x v="2"/>
  </r>
  <r>
    <n v="10468"/>
    <d v="2023-06-10T00:00:00"/>
    <x v="39"/>
    <s v="Male"/>
    <n v="53"/>
    <s v="FRANCE"/>
    <n v="400"/>
    <n v="60"/>
    <n v="24000"/>
    <s v=" Credit Card"/>
    <x v="0"/>
  </r>
  <r>
    <n v="10475"/>
    <d v="2023-06-12T00:00:00"/>
    <x v="40"/>
    <s v="Male"/>
    <n v="46"/>
    <s v="FRANCE"/>
    <n v="320"/>
    <n v="60"/>
    <n v="19200"/>
    <s v=" Credit Card"/>
    <x v="0"/>
  </r>
  <r>
    <n v="10480"/>
    <d v="2023-06-13T00:00:00"/>
    <x v="41"/>
    <s v="Male"/>
    <n v="52"/>
    <s v="SPAIN"/>
    <n v="250"/>
    <n v="60"/>
    <n v="15000"/>
    <s v=" Credit Card"/>
    <x v="0"/>
  </r>
  <r>
    <n v="10495"/>
    <d v="2023-06-16T00:00:00"/>
    <x v="42"/>
    <s v="Male"/>
    <n v="61"/>
    <s v="UNITED STATED"/>
    <n v="150"/>
    <n v="60"/>
    <n v="9000"/>
    <s v=" Credit Card"/>
    <x v="0"/>
  </r>
  <r>
    <n v="10484"/>
    <d v="2023-06-13T00:00:00"/>
    <x v="43"/>
    <s v="Female"/>
    <n v="44"/>
    <s v="UNITED STATEDA"/>
    <n v="150"/>
    <n v="60"/>
    <n v="9000"/>
    <s v=" Credit Card"/>
    <x v="2"/>
  </r>
  <r>
    <n v="10543"/>
    <d v="2023-06-25T00:00:00"/>
    <x v="44"/>
    <s v="Female"/>
    <n v="55"/>
    <s v="ENGLANG"/>
    <n v="400"/>
    <n v="60"/>
    <n v="23920"/>
    <s v=" Credit Card"/>
    <x v="1"/>
  </r>
  <r>
    <n v="10466"/>
    <d v="2023-06-10T00:00:00"/>
    <x v="45"/>
    <s v="Male"/>
    <n v="37"/>
    <s v="FRANCE"/>
    <n v="250"/>
    <n v="50"/>
    <n v="12500"/>
    <s v=" Credit Card"/>
    <x v="0"/>
  </r>
  <r>
    <n v="10467"/>
    <d v="2023-06-10T00:00:00"/>
    <x v="46"/>
    <s v="Male"/>
    <n v="39"/>
    <s v="FRANCE"/>
    <n v="400"/>
    <n v="50"/>
    <n v="20000"/>
    <s v=" Credit Card"/>
    <x v="0"/>
  </r>
  <r>
    <n v="10532"/>
    <d v="2023-06-23T00:00:00"/>
    <x v="47"/>
    <s v="Female"/>
    <n v="28"/>
    <s v="ITALIA"/>
    <n v="400"/>
    <n v="46"/>
    <n v="18240"/>
    <s v=" Cash"/>
    <x v="2"/>
  </r>
  <r>
    <n v="10533"/>
    <d v="2023-06-23T00:00:00"/>
    <x v="48"/>
    <s v="Female"/>
    <n v="37"/>
    <s v="ITALIA"/>
    <n v="400"/>
    <n v="46"/>
    <n v="18240"/>
    <s v=" Cash"/>
    <x v="2"/>
  </r>
  <r>
    <n v="10527"/>
    <d v="2023-06-22T00:00:00"/>
    <x v="49"/>
    <s v="Female"/>
    <n v="33"/>
    <s v="ITALIA"/>
    <n v="400"/>
    <n v="45"/>
    <n v="18000"/>
    <s v=" Cash"/>
    <x v="3"/>
  </r>
  <r>
    <n v="10528"/>
    <d v="2023-06-22T00:00:00"/>
    <x v="50"/>
    <s v="Female"/>
    <n v="49"/>
    <s v="ITALIA"/>
    <n v="150"/>
    <n v="45"/>
    <n v="6750"/>
    <s v=" Cash"/>
    <x v="3"/>
  </r>
  <r>
    <n v="10496"/>
    <d v="2023-06-16T00:00:00"/>
    <x v="51"/>
    <s v="Male"/>
    <n v="25"/>
    <s v="UNITED STATED"/>
    <n v="150"/>
    <n v="44"/>
    <n v="6600"/>
    <s v=" Credit Card"/>
    <x v="0"/>
  </r>
  <r>
    <n v="10498"/>
    <d v="2023-06-16T00:00:00"/>
    <x v="52"/>
    <s v="Male"/>
    <n v="36"/>
    <s v="UNITED STATED"/>
    <n v="150"/>
    <n v="44"/>
    <n v="6600"/>
    <s v=" Credit Card"/>
    <x v="0"/>
  </r>
  <r>
    <n v="10512"/>
    <d v="2023-06-19T00:00:00"/>
    <x v="53"/>
    <s v="Female"/>
    <n v="37"/>
    <s v="UNITED STATEDA"/>
    <n v="320"/>
    <n v="43"/>
    <n v="13760"/>
    <s v=" Credit Card"/>
    <x v="2"/>
  </r>
  <r>
    <n v="10513"/>
    <d v="2023-06-19T00:00:00"/>
    <x v="54"/>
    <s v="Female"/>
    <n v="51"/>
    <s v="UNITED STATEDA"/>
    <n v="250"/>
    <n v="42"/>
    <n v="10500"/>
    <s v=" Cash"/>
    <x v="2"/>
  </r>
  <r>
    <n v="10474"/>
    <d v="2023-06-11T00:00:00"/>
    <x v="55"/>
    <s v="Male"/>
    <n v="21"/>
    <s v="UNITED STATED"/>
    <n v="150"/>
    <n v="40"/>
    <n v="6000"/>
    <s v=" Credit Card"/>
    <x v="0"/>
  </r>
  <r>
    <n v="10479"/>
    <d v="2023-06-12T00:00:00"/>
    <x v="56"/>
    <s v="Male"/>
    <n v="37"/>
    <s v="JAPAN"/>
    <n v="250"/>
    <n v="40"/>
    <n v="10000"/>
    <s v=" Credit Card"/>
    <x v="0"/>
  </r>
  <r>
    <n v="10488"/>
    <d v="2023-06-14T00:00:00"/>
    <x v="57"/>
    <s v="Male"/>
    <n v="24"/>
    <s v="UNITED STATED"/>
    <n v="150"/>
    <n v="40"/>
    <n v="6000"/>
    <s v=" Credit Card"/>
    <x v="2"/>
  </r>
  <r>
    <n v="10526"/>
    <d v="2023-06-22T00:00:00"/>
    <x v="58"/>
    <s v="Female"/>
    <n v="24"/>
    <s v="ITALIA"/>
    <n v="400"/>
    <n v="40"/>
    <n v="15919.999999999998"/>
    <s v=" Cash"/>
    <x v="3"/>
  </r>
  <r>
    <n v="10548"/>
    <d v="2023-06-26T00:00:00"/>
    <x v="59"/>
    <s v="Male"/>
    <n v="21"/>
    <s v="ENGLANG"/>
    <n v="150"/>
    <n v="40"/>
    <n v="5970"/>
    <s v=" Credit Card"/>
    <x v="1"/>
  </r>
  <r>
    <n v="10508"/>
    <d v="2023-06-18T00:00:00"/>
    <x v="60"/>
    <s v="Female"/>
    <n v="39"/>
    <s v="FRANCE"/>
    <n v="150"/>
    <n v="39"/>
    <n v="5850"/>
    <s v=" Credit Card"/>
    <x v="0"/>
  </r>
  <r>
    <n v="10485"/>
    <d v="2023-06-14T00:00:00"/>
    <x v="61"/>
    <s v="Male"/>
    <n v="35"/>
    <s v="UNITED STATED"/>
    <n v="400"/>
    <n v="38"/>
    <n v="15200"/>
    <s v=" Credit Card"/>
    <x v="2"/>
  </r>
  <r>
    <n v="10505"/>
    <d v="2023-06-18T00:00:00"/>
    <x v="62"/>
    <s v="Female"/>
    <n v="35"/>
    <s v="FRANCE"/>
    <n v="250"/>
    <n v="38"/>
    <n v="9500"/>
    <s v=" Credit Card"/>
    <x v="0"/>
  </r>
  <r>
    <n v="10524"/>
    <d v="2023-06-21T00:00:00"/>
    <x v="63"/>
    <s v="Female"/>
    <n v="46"/>
    <s v="JAPAN"/>
    <n v="150"/>
    <n v="38"/>
    <n v="5700"/>
    <s v=" Cash"/>
    <x v="3"/>
  </r>
  <r>
    <n v="10459"/>
    <d v="2023-06-08T00:00:00"/>
    <x v="64"/>
    <s v="Female"/>
    <n v="31"/>
    <s v="SPAIN"/>
    <n v="150"/>
    <n v="38"/>
    <n v="5699.9999999999991"/>
    <s v=" Credit Card"/>
    <x v="4"/>
  </r>
  <r>
    <n v="10494"/>
    <d v="2023-06-15T00:00:00"/>
    <x v="65"/>
    <s v="Male"/>
    <n v="23"/>
    <s v="UNITED STATED"/>
    <n v="320"/>
    <n v="38"/>
    <n v="12159.999999999998"/>
    <s v=" Credit Card"/>
    <x v="0"/>
  </r>
  <r>
    <n v="10504"/>
    <d v="2023-06-17T00:00:00"/>
    <x v="66"/>
    <s v="Male"/>
    <n v="23"/>
    <s v="FRANCE"/>
    <n v="320"/>
    <n v="38"/>
    <n v="12159.999999999998"/>
    <s v=" Credit Card"/>
    <x v="0"/>
  </r>
  <r>
    <n v="10514"/>
    <d v="2023-06-19T00:00:00"/>
    <x v="67"/>
    <s v="Female"/>
    <n v="21"/>
    <s v="UNITED STATEDA"/>
    <n v="150"/>
    <n v="38"/>
    <n v="5699.9999999999991"/>
    <s v=" Cash"/>
    <x v="2"/>
  </r>
  <r>
    <n v="10539"/>
    <d v="2023-06-24T00:00:00"/>
    <x v="68"/>
    <s v="Female"/>
    <n v="55"/>
    <s v="ENGLANG"/>
    <n v="320"/>
    <n v="38"/>
    <n v="12159.999999999998"/>
    <s v=" Credit Card"/>
    <x v="0"/>
  </r>
  <r>
    <n v="10544"/>
    <d v="2023-06-25T00:00:00"/>
    <x v="69"/>
    <s v="Female"/>
    <n v="43"/>
    <s v="ITALIA"/>
    <n v="150"/>
    <n v="38"/>
    <n v="5699.9999999999991"/>
    <s v=" Credit Card"/>
    <x v="1"/>
  </r>
  <r>
    <n v="10549"/>
    <d v="2023-06-26T00:00:00"/>
    <x v="70"/>
    <s v="Male"/>
    <n v="52"/>
    <s v="UNITED STATED"/>
    <n v="400"/>
    <n v="38"/>
    <n v="15199.999999999996"/>
    <s v=" Credit Card"/>
    <x v="1"/>
  </r>
  <r>
    <n v="10472"/>
    <d v="2023-06-11T00:00:00"/>
    <x v="71"/>
    <s v="Male"/>
    <n v="38"/>
    <s v="UNITED STATED"/>
    <n v="320"/>
    <n v="35"/>
    <n v="11200"/>
    <s v=" Credit Card"/>
    <x v="0"/>
  </r>
  <r>
    <n v="10499"/>
    <d v="2023-06-16T00:00:00"/>
    <x v="72"/>
    <s v="Male"/>
    <n v="39"/>
    <s v="UNITED STATED"/>
    <n v="150"/>
    <n v="33"/>
    <n v="4950"/>
    <s v=" Credit Card"/>
    <x v="0"/>
  </r>
  <r>
    <n v="10455"/>
    <d v="2023-06-08T00:00:00"/>
    <x v="73"/>
    <s v="Female"/>
    <n v="31"/>
    <s v="ENGLANG"/>
    <n v="400"/>
    <n v="28"/>
    <n v="11200"/>
    <s v=" Credit Card"/>
    <x v="4"/>
  </r>
  <r>
    <n v="10522"/>
    <d v="2023-06-21T00:00:00"/>
    <x v="74"/>
    <s v="Female"/>
    <n v="26"/>
    <s v="JAPAN"/>
    <n v="320"/>
    <n v="27"/>
    <n v="8640"/>
    <s v=" Cash"/>
    <x v="3"/>
  </r>
  <r>
    <n v="10452"/>
    <d v="2023-06-07T00:00:00"/>
    <x v="75"/>
    <s v="Male"/>
    <n v="23"/>
    <s v="ENGLANG"/>
    <n v="150"/>
    <n v="25"/>
    <n v="3750"/>
    <s v=" Gift Card"/>
    <x v="1"/>
  </r>
  <r>
    <n v="10457"/>
    <d v="2023-06-08T00:00:00"/>
    <x v="76"/>
    <s v="Male"/>
    <n v="36"/>
    <s v="UNITED STATED"/>
    <n v="250"/>
    <n v="25"/>
    <n v="6250"/>
    <s v=" Credit Card"/>
    <x v="3"/>
  </r>
  <r>
    <n v="10460"/>
    <d v="2023-06-09T00:00:00"/>
    <x v="77"/>
    <s v="Female"/>
    <n v="20"/>
    <s v="JAPAN"/>
    <n v="320"/>
    <n v="25"/>
    <n v="8000"/>
    <s v=" Credit Card"/>
    <x v="3"/>
  </r>
  <r>
    <n v="10462"/>
    <d v="2023-06-09T00:00:00"/>
    <x v="78"/>
    <s v="Male"/>
    <n v="28"/>
    <s v="SPAIN"/>
    <n v="400"/>
    <n v="25"/>
    <n v="10000"/>
    <s v=" Credit Card"/>
    <x v="3"/>
  </r>
  <r>
    <n v="10464"/>
    <d v="2023-06-09T00:00:00"/>
    <x v="79"/>
    <s v="Male"/>
    <n v="32"/>
    <s v="SPAIN"/>
    <n v="320"/>
    <n v="25"/>
    <n v="8000"/>
    <s v=" Credit Card"/>
    <x v="3"/>
  </r>
  <r>
    <n v="10454"/>
    <d v="2023-06-07T00:00:00"/>
    <x v="80"/>
    <s v="Female"/>
    <n v="30"/>
    <s v="ENGLANG"/>
    <n v="250"/>
    <n v="25"/>
    <n v="6250"/>
    <s v=" Gift Card"/>
    <x v="2"/>
  </r>
  <r>
    <n v="10471"/>
    <d v="2023-06-11T00:00:00"/>
    <x v="81"/>
    <s v="Female"/>
    <n v="23"/>
    <s v="FRANCE"/>
    <n v="150"/>
    <n v="25"/>
    <n v="3750"/>
    <s v=" Credit Card"/>
    <x v="0"/>
  </r>
  <r>
    <n v="10482"/>
    <d v="2023-06-13T00:00:00"/>
    <x v="82"/>
    <s v="Male"/>
    <n v="24"/>
    <s v="JAPAN"/>
    <n v="250"/>
    <n v="25"/>
    <n v="6250"/>
    <s v=" Credit Card"/>
    <x v="2"/>
  </r>
  <r>
    <n v="10483"/>
    <d v="2023-06-13T00:00:00"/>
    <x v="83"/>
    <s v="Male"/>
    <n v="20"/>
    <s v="SPAIN"/>
    <n v="320"/>
    <n v="25"/>
    <n v="8000"/>
    <s v=" Credit Card"/>
    <x v="2"/>
  </r>
  <r>
    <n v="10492"/>
    <d v="2023-06-15T00:00:00"/>
    <x v="84"/>
    <s v="Male"/>
    <n v="38"/>
    <s v="DENMARK"/>
    <n v="150"/>
    <n v="25"/>
    <n v="3750"/>
    <s v=" Credit Card"/>
    <x v="0"/>
  </r>
  <r>
    <n v="10493"/>
    <d v="2023-06-15T00:00:00"/>
    <x v="85"/>
    <s v="Male"/>
    <n v="36"/>
    <s v="UNITED STATED"/>
    <n v="150"/>
    <n v="25"/>
    <n v="3750"/>
    <s v=" Credit Card"/>
    <x v="0"/>
  </r>
  <r>
    <n v="10497"/>
    <d v="2023-06-16T00:00:00"/>
    <x v="86"/>
    <s v="Male"/>
    <n v="31"/>
    <s v="UNITED STATED"/>
    <n v="320"/>
    <n v="25"/>
    <n v="8000"/>
    <s v=" Credit Card"/>
    <x v="0"/>
  </r>
  <r>
    <n v="10503"/>
    <d v="2023-06-17T00:00:00"/>
    <x v="87"/>
    <s v="Male"/>
    <n v="33"/>
    <s v="FRANCE"/>
    <n v="320"/>
    <n v="25"/>
    <n v="8000"/>
    <s v=" Credit Card"/>
    <x v="0"/>
  </r>
  <r>
    <n v="10511"/>
    <d v="2023-06-19T00:00:00"/>
    <x v="88"/>
    <s v="Female"/>
    <n v="22"/>
    <s v="UNITED STATEDA"/>
    <n v="150"/>
    <n v="25"/>
    <n v="3750"/>
    <s v=" Credit Card"/>
    <x v="2"/>
  </r>
  <r>
    <n v="10521"/>
    <d v="2023-06-21T00:00:00"/>
    <x v="89"/>
    <s v="Female"/>
    <n v="26"/>
    <s v="JAPAN"/>
    <n v="400"/>
    <n v="25"/>
    <n v="10000"/>
    <s v=" Cash"/>
    <x v="3"/>
  </r>
  <r>
    <n v="10530"/>
    <d v="2023-06-23T00:00:00"/>
    <x v="90"/>
    <s v="Female"/>
    <n v="26"/>
    <s v="ITALIA"/>
    <n v="320"/>
    <n v="24"/>
    <n v="7539.2"/>
    <s v=" Cash"/>
    <x v="3"/>
  </r>
  <r>
    <n v="10540"/>
    <d v="2023-06-25T00:00:00"/>
    <x v="91"/>
    <s v="Female"/>
    <n v="62"/>
    <s v="ITALIA"/>
    <n v="250"/>
    <n v="24"/>
    <n v="5890"/>
    <s v=" Credit Card"/>
    <x v="0"/>
  </r>
  <r>
    <n v="10520"/>
    <d v="2023-06-21T00:00:00"/>
    <x v="92"/>
    <s v="Female"/>
    <n v="26"/>
    <s v="JAPAN"/>
    <n v="400"/>
    <n v="23"/>
    <n v="9200"/>
    <s v=" Cash"/>
    <x v="3"/>
  </r>
  <r>
    <n v="10545"/>
    <d v="2023-06-26T00:00:00"/>
    <x v="93"/>
    <s v="Female"/>
    <n v="20"/>
    <s v="JAPAN"/>
    <n v="400"/>
    <n v="23"/>
    <n v="8816"/>
    <s v=" Credit Card"/>
    <x v="1"/>
  </r>
  <r>
    <n v="10489"/>
    <d v="2023-06-14T00:00:00"/>
    <x v="79"/>
    <s v="Male"/>
    <n v="36"/>
    <s v="SPAIN"/>
    <n v="320"/>
    <n v="20"/>
    <n v="6400"/>
    <s v=" Credit Card"/>
    <x v="0"/>
  </r>
  <r>
    <n v="10454"/>
    <d v="2023-06-07T00:00:00"/>
    <x v="79"/>
    <s v="Female"/>
    <n v="30"/>
    <s v="ENGLANG"/>
    <n v="150"/>
    <n v="15"/>
    <n v="2250"/>
    <s v=" Gift Card"/>
    <x v="2"/>
  </r>
  <r>
    <n v="10454"/>
    <d v="2023-06-07T00:00:00"/>
    <x v="94"/>
    <s v="Female"/>
    <n v="30"/>
    <s v="ENGLANG"/>
    <n v="250"/>
    <n v="10"/>
    <n v="2500"/>
    <s v=" Gift Car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 rowHeaderCaption="country">
  <location ref="D17:E26" firstHeaderRow="1" firstDataRow="1" firstDataCol="1"/>
  <pivotFields count="10">
    <pivotField showAll="0"/>
    <pivotField numFmtId="14" showAll="0"/>
    <pivotField showAll="0">
      <items count="96">
        <item x="69"/>
        <item x="63"/>
        <item x="33"/>
        <item x="83"/>
        <item x="18"/>
        <item x="75"/>
        <item x="15"/>
        <item x="84"/>
        <item x="19"/>
        <item x="39"/>
        <item x="46"/>
        <item x="26"/>
        <item x="16"/>
        <item x="34"/>
        <item x="41"/>
        <item x="2"/>
        <item x="49"/>
        <item x="20"/>
        <item x="92"/>
        <item x="56"/>
        <item x="29"/>
        <item x="55"/>
        <item x="45"/>
        <item x="91"/>
        <item x="88"/>
        <item x="61"/>
        <item x="4"/>
        <item x="86"/>
        <item x="87"/>
        <item x="74"/>
        <item x="21"/>
        <item x="85"/>
        <item x="47"/>
        <item x="13"/>
        <item x="80"/>
        <item x="30"/>
        <item x="22"/>
        <item x="35"/>
        <item x="50"/>
        <item x="81"/>
        <item x="0"/>
        <item x="1"/>
        <item x="51"/>
        <item x="25"/>
        <item x="52"/>
        <item x="89"/>
        <item x="71"/>
        <item x="23"/>
        <item x="66"/>
        <item x="76"/>
        <item x="8"/>
        <item x="94"/>
        <item x="79"/>
        <item x="67"/>
        <item x="12"/>
        <item x="54"/>
        <item x="44"/>
        <item x="5"/>
        <item x="6"/>
        <item x="7"/>
        <item x="10"/>
        <item x="64"/>
        <item x="43"/>
        <item x="93"/>
        <item x="24"/>
        <item x="90"/>
        <item x="60"/>
        <item x="14"/>
        <item x="31"/>
        <item x="82"/>
        <item x="58"/>
        <item x="27"/>
        <item x="3"/>
        <item x="11"/>
        <item x="77"/>
        <item x="73"/>
        <item x="53"/>
        <item x="57"/>
        <item x="62"/>
        <item x="32"/>
        <item x="59"/>
        <item x="42"/>
        <item x="37"/>
        <item x="72"/>
        <item x="48"/>
        <item x="78"/>
        <item x="9"/>
        <item x="17"/>
        <item x="70"/>
        <item x="68"/>
        <item x="28"/>
        <item x="65"/>
        <item x="36"/>
        <item x="38"/>
        <item x="40"/>
        <item t="default"/>
      </items>
    </pivotField>
    <pivotField showAll="0"/>
    <pivotField showAll="0"/>
    <pivotField axis="axisRow" showAll="0" sortType="descending">
      <items count="9">
        <item x="6"/>
        <item x="5"/>
        <item x="4"/>
        <item x="3"/>
        <item x="1"/>
        <item x="0"/>
        <item x="2"/>
        <item x="7"/>
        <item t="default"/>
      </items>
    </pivotField>
    <pivotField numFmtId="164" showAll="0"/>
    <pivotField dataField="1" numFmtId="164" showAll="0">
      <items count="61">
        <item x="58"/>
        <item x="59"/>
        <item x="50"/>
        <item x="48"/>
        <item x="44"/>
        <item x="43"/>
        <item x="40"/>
        <item x="54"/>
        <item x="39"/>
        <item x="36"/>
        <item x="51"/>
        <item x="57"/>
        <item x="33"/>
        <item x="32"/>
        <item x="53"/>
        <item x="52"/>
        <item x="49"/>
        <item x="56"/>
        <item x="27"/>
        <item x="55"/>
        <item x="23"/>
        <item x="42"/>
        <item x="37"/>
        <item x="35"/>
        <item x="47"/>
        <item x="17"/>
        <item x="12"/>
        <item x="6"/>
        <item x="45"/>
        <item x="29"/>
        <item x="34"/>
        <item x="26"/>
        <item x="46"/>
        <item x="41"/>
        <item x="38"/>
        <item x="20"/>
        <item x="31"/>
        <item x="30"/>
        <item x="18"/>
        <item x="25"/>
        <item x="5"/>
        <item x="24"/>
        <item x="3"/>
        <item x="21"/>
        <item x="19"/>
        <item x="28"/>
        <item x="15"/>
        <item x="14"/>
        <item x="13"/>
        <item x="9"/>
        <item x="7"/>
        <item x="4"/>
        <item x="2"/>
        <item x="22"/>
        <item x="16"/>
        <item x="11"/>
        <item x="10"/>
        <item x="8"/>
        <item x="1"/>
        <item x="0"/>
        <item t="default"/>
      </items>
    </pivotField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Reveue by country" fld="7" baseField="5" baseItem="0"/>
  </dataFields>
  <chartFormats count="2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full_name">
  <location ref="D3:E14" firstHeaderRow="1" firstDataRow="1" firstDataCol="1"/>
  <pivotFields count="10">
    <pivotField showAll="0"/>
    <pivotField numFmtId="14" showAll="0"/>
    <pivotField axis="axisRow" showAll="0" measureFilter="1" sortType="descending">
      <items count="96">
        <item x="69"/>
        <item x="63"/>
        <item x="33"/>
        <item x="83"/>
        <item x="18"/>
        <item x="75"/>
        <item x="15"/>
        <item x="84"/>
        <item x="19"/>
        <item x="39"/>
        <item x="46"/>
        <item x="26"/>
        <item x="16"/>
        <item x="34"/>
        <item x="41"/>
        <item x="2"/>
        <item x="49"/>
        <item x="20"/>
        <item x="92"/>
        <item x="56"/>
        <item x="29"/>
        <item x="55"/>
        <item x="45"/>
        <item x="91"/>
        <item x="88"/>
        <item x="61"/>
        <item x="4"/>
        <item x="86"/>
        <item x="87"/>
        <item x="74"/>
        <item x="21"/>
        <item x="85"/>
        <item x="47"/>
        <item x="13"/>
        <item x="80"/>
        <item x="30"/>
        <item x="22"/>
        <item x="35"/>
        <item x="50"/>
        <item x="81"/>
        <item x="0"/>
        <item x="1"/>
        <item x="51"/>
        <item x="25"/>
        <item x="52"/>
        <item x="89"/>
        <item x="71"/>
        <item x="23"/>
        <item x="66"/>
        <item x="76"/>
        <item x="8"/>
        <item x="94"/>
        <item x="79"/>
        <item x="67"/>
        <item x="12"/>
        <item x="54"/>
        <item x="44"/>
        <item x="5"/>
        <item x="6"/>
        <item x="7"/>
        <item x="10"/>
        <item x="64"/>
        <item x="43"/>
        <item x="93"/>
        <item x="24"/>
        <item x="90"/>
        <item x="60"/>
        <item x="14"/>
        <item x="31"/>
        <item x="82"/>
        <item x="58"/>
        <item x="27"/>
        <item x="3"/>
        <item x="11"/>
        <item x="77"/>
        <item x="73"/>
        <item x="53"/>
        <item x="57"/>
        <item x="62"/>
        <item x="32"/>
        <item x="59"/>
        <item x="42"/>
        <item x="37"/>
        <item x="72"/>
        <item x="48"/>
        <item x="78"/>
        <item x="9"/>
        <item x="17"/>
        <item x="70"/>
        <item x="68"/>
        <item x="28"/>
        <item x="65"/>
        <item x="36"/>
        <item x="38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  <pivotField showAll="0"/>
    <pivotField showAll="0"/>
  </pivotFields>
  <rowFields count="1">
    <field x="2"/>
  </rowFields>
  <rowItems count="11">
    <i>
      <x v="20"/>
    </i>
    <i>
      <x v="40"/>
    </i>
    <i>
      <x v="26"/>
    </i>
    <i>
      <x v="41"/>
    </i>
    <i>
      <x v="54"/>
    </i>
    <i>
      <x v="67"/>
    </i>
    <i>
      <x v="87"/>
    </i>
    <i>
      <x v="6"/>
    </i>
    <i>
      <x v="47"/>
    </i>
    <i>
      <x v="37"/>
    </i>
    <i t="grand">
      <x/>
    </i>
  </rowItems>
  <colItems count="1">
    <i/>
  </colItems>
  <dataFields count="1">
    <dataField name=" Revenue" fld="7" baseField="2" baseItem="6"/>
  </dataFields>
  <chartFormats count="22">
    <chartFormat chart="10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1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full_name">
  <location ref="A3:B99" firstHeaderRow="1" firstDataRow="1" firstDataCol="1"/>
  <pivotFields count="10">
    <pivotField showAll="0"/>
    <pivotField numFmtId="14" showAll="0"/>
    <pivotField axis="axisRow" showAll="0">
      <items count="96">
        <item x="69"/>
        <item x="63"/>
        <item x="33"/>
        <item x="83"/>
        <item x="18"/>
        <item x="75"/>
        <item x="15"/>
        <item x="84"/>
        <item x="19"/>
        <item x="39"/>
        <item x="46"/>
        <item x="26"/>
        <item x="16"/>
        <item x="34"/>
        <item x="41"/>
        <item x="2"/>
        <item x="49"/>
        <item x="20"/>
        <item x="92"/>
        <item x="56"/>
        <item x="29"/>
        <item x="55"/>
        <item x="45"/>
        <item x="91"/>
        <item x="88"/>
        <item x="61"/>
        <item x="4"/>
        <item x="86"/>
        <item x="87"/>
        <item x="74"/>
        <item x="21"/>
        <item x="85"/>
        <item x="47"/>
        <item x="13"/>
        <item x="80"/>
        <item x="30"/>
        <item x="22"/>
        <item x="35"/>
        <item x="50"/>
        <item x="81"/>
        <item x="0"/>
        <item x="1"/>
        <item x="51"/>
        <item x="25"/>
        <item x="52"/>
        <item x="89"/>
        <item x="71"/>
        <item x="23"/>
        <item x="66"/>
        <item x="76"/>
        <item x="8"/>
        <item x="94"/>
        <item x="79"/>
        <item x="67"/>
        <item x="12"/>
        <item x="54"/>
        <item x="44"/>
        <item x="5"/>
        <item x="6"/>
        <item x="7"/>
        <item x="10"/>
        <item x="64"/>
        <item x="43"/>
        <item x="93"/>
        <item x="24"/>
        <item x="90"/>
        <item x="60"/>
        <item x="14"/>
        <item x="31"/>
        <item x="82"/>
        <item x="58"/>
        <item x="27"/>
        <item x="3"/>
        <item x="11"/>
        <item x="77"/>
        <item x="73"/>
        <item x="53"/>
        <item x="57"/>
        <item x="62"/>
        <item x="32"/>
        <item x="59"/>
        <item x="42"/>
        <item x="37"/>
        <item x="72"/>
        <item x="48"/>
        <item x="78"/>
        <item x="9"/>
        <item x="17"/>
        <item x="70"/>
        <item x="68"/>
        <item x="28"/>
        <item x="65"/>
        <item x="36"/>
        <item x="38"/>
        <item x="4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 rowHeaderCaption="sale_person">
  <location ref="G3:H9" firstHeaderRow="1" firstDataRow="1" firstDataCol="1"/>
  <pivotFields count="10">
    <pivotField showAll="0"/>
    <pivotField numFmtId="14" showAll="0"/>
    <pivotField showAll="0">
      <items count="96">
        <item x="69"/>
        <item x="63"/>
        <item x="33"/>
        <item x="83"/>
        <item x="18"/>
        <item x="75"/>
        <item x="15"/>
        <item x="84"/>
        <item x="19"/>
        <item x="39"/>
        <item x="46"/>
        <item x="26"/>
        <item x="16"/>
        <item x="34"/>
        <item x="41"/>
        <item x="2"/>
        <item x="49"/>
        <item x="20"/>
        <item x="92"/>
        <item x="56"/>
        <item x="29"/>
        <item x="55"/>
        <item x="45"/>
        <item x="91"/>
        <item x="88"/>
        <item x="61"/>
        <item x="4"/>
        <item x="86"/>
        <item x="87"/>
        <item x="74"/>
        <item x="21"/>
        <item x="85"/>
        <item x="47"/>
        <item x="13"/>
        <item x="80"/>
        <item x="30"/>
        <item x="22"/>
        <item x="35"/>
        <item x="50"/>
        <item x="81"/>
        <item x="0"/>
        <item x="1"/>
        <item x="51"/>
        <item x="25"/>
        <item x="52"/>
        <item x="89"/>
        <item x="71"/>
        <item x="23"/>
        <item x="66"/>
        <item x="76"/>
        <item x="8"/>
        <item x="94"/>
        <item x="79"/>
        <item x="67"/>
        <item x="12"/>
        <item x="54"/>
        <item x="44"/>
        <item x="5"/>
        <item x="6"/>
        <item x="7"/>
        <item x="10"/>
        <item x="64"/>
        <item x="43"/>
        <item x="93"/>
        <item x="24"/>
        <item x="90"/>
        <item x="60"/>
        <item x="14"/>
        <item x="31"/>
        <item x="82"/>
        <item x="58"/>
        <item x="27"/>
        <item x="3"/>
        <item x="11"/>
        <item x="77"/>
        <item x="73"/>
        <item x="53"/>
        <item x="57"/>
        <item x="62"/>
        <item x="32"/>
        <item x="59"/>
        <item x="42"/>
        <item x="37"/>
        <item x="72"/>
        <item x="48"/>
        <item x="78"/>
        <item x="9"/>
        <item x="17"/>
        <item x="70"/>
        <item x="68"/>
        <item x="28"/>
        <item x="65"/>
        <item x="36"/>
        <item x="38"/>
        <item x="40"/>
        <item t="default"/>
      </items>
    </pivotField>
    <pivotField showAll="0"/>
    <pivotField showAll="0"/>
    <pivotField showAll="0" sortType="descending">
      <items count="9">
        <item x="7"/>
        <item x="2"/>
        <item x="0"/>
        <item x="1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64" showAll="0">
      <items count="61">
        <item x="58"/>
        <item x="59"/>
        <item x="50"/>
        <item x="48"/>
        <item x="44"/>
        <item x="43"/>
        <item x="40"/>
        <item x="54"/>
        <item x="39"/>
        <item x="36"/>
        <item x="51"/>
        <item x="57"/>
        <item x="33"/>
        <item x="32"/>
        <item x="53"/>
        <item x="52"/>
        <item x="49"/>
        <item x="56"/>
        <item x="27"/>
        <item x="55"/>
        <item x="23"/>
        <item x="42"/>
        <item x="37"/>
        <item x="35"/>
        <item x="47"/>
        <item x="17"/>
        <item x="12"/>
        <item x="6"/>
        <item x="45"/>
        <item x="29"/>
        <item x="34"/>
        <item x="26"/>
        <item x="46"/>
        <item x="41"/>
        <item x="38"/>
        <item x="20"/>
        <item x="31"/>
        <item x="30"/>
        <item x="18"/>
        <item x="25"/>
        <item x="5"/>
        <item x="24"/>
        <item x="3"/>
        <item x="21"/>
        <item x="19"/>
        <item x="28"/>
        <item x="15"/>
        <item x="14"/>
        <item x="13"/>
        <item x="9"/>
        <item x="7"/>
        <item x="4"/>
        <item x="2"/>
        <item x="22"/>
        <item x="16"/>
        <item x="11"/>
        <item x="10"/>
        <item x="8"/>
        <item x="1"/>
        <item x="0"/>
        <item t="default"/>
      </items>
    </pivotField>
    <pivotField showAll="0"/>
    <pivotField axis="axisRow" showAll="0" sortType="descending">
      <items count="6">
        <item x="4"/>
        <item x="1"/>
        <item x="3"/>
        <item x="2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Reveue by sale_persons" fld="7" baseField="9" baseItem="0"/>
  </dataFields>
  <chartFormats count="6">
    <chartFormat chart="2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mergeItem="1" createdVersion="6" indent="0" outline="1" outlineData="1" multipleFieldFilters="0" chartFormat="12" rowHeaderCaption="full_name">
  <location ref="A1:B97" firstHeaderRow="1" firstDataRow="1" firstDataCol="1"/>
  <pivotFields count="11">
    <pivotField showAll="0"/>
    <pivotField numFmtId="14" showAll="0"/>
    <pivotField axis="axisRow" showAll="0" sortType="descending">
      <items count="96">
        <item x="94"/>
        <item x="68"/>
        <item x="62"/>
        <item x="32"/>
        <item x="82"/>
        <item x="17"/>
        <item x="74"/>
        <item x="14"/>
        <item x="83"/>
        <item x="18"/>
        <item x="38"/>
        <item x="45"/>
        <item x="25"/>
        <item x="15"/>
        <item x="33"/>
        <item x="40"/>
        <item x="1"/>
        <item x="48"/>
        <item x="19"/>
        <item x="91"/>
        <item x="55"/>
        <item x="28"/>
        <item x="54"/>
        <item x="44"/>
        <item x="90"/>
        <item x="87"/>
        <item x="60"/>
        <item x="3"/>
        <item x="85"/>
        <item x="86"/>
        <item x="73"/>
        <item x="20"/>
        <item x="84"/>
        <item x="46"/>
        <item x="12"/>
        <item x="79"/>
        <item x="29"/>
        <item x="21"/>
        <item x="34"/>
        <item x="49"/>
        <item x="80"/>
        <item x="0"/>
        <item x="50"/>
        <item x="24"/>
        <item x="51"/>
        <item x="88"/>
        <item x="70"/>
        <item x="22"/>
        <item x="65"/>
        <item x="75"/>
        <item x="7"/>
        <item x="93"/>
        <item x="78"/>
        <item x="66"/>
        <item x="11"/>
        <item x="53"/>
        <item x="43"/>
        <item x="4"/>
        <item x="5"/>
        <item x="6"/>
        <item x="9"/>
        <item x="63"/>
        <item x="42"/>
        <item x="92"/>
        <item x="23"/>
        <item x="89"/>
        <item x="59"/>
        <item x="13"/>
        <item x="30"/>
        <item x="81"/>
        <item x="57"/>
        <item x="26"/>
        <item x="2"/>
        <item x="10"/>
        <item x="76"/>
        <item x="72"/>
        <item x="52"/>
        <item x="56"/>
        <item x="61"/>
        <item x="31"/>
        <item x="58"/>
        <item x="41"/>
        <item x="36"/>
        <item x="71"/>
        <item x="47"/>
        <item x="77"/>
        <item x="8"/>
        <item x="16"/>
        <item x="69"/>
        <item x="67"/>
        <item x="27"/>
        <item x="64"/>
        <item x="35"/>
        <item x="37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</pivotFields>
  <rowFields count="1">
    <field x="2"/>
  </rowFields>
  <rowItems count="96">
    <i>
      <x v="18"/>
    </i>
    <i>
      <x v="12"/>
    </i>
    <i>
      <x v="36"/>
    </i>
    <i>
      <x v="21"/>
    </i>
    <i>
      <x v="90"/>
    </i>
    <i>
      <x v="79"/>
    </i>
    <i>
      <x v="19"/>
    </i>
    <i>
      <x v="62"/>
    </i>
    <i>
      <x v="16"/>
    </i>
    <i>
      <x v="68"/>
    </i>
    <i>
      <x v="67"/>
    </i>
    <i>
      <x v="71"/>
    </i>
    <i>
      <x v="86"/>
    </i>
    <i>
      <x v="82"/>
    </i>
    <i>
      <x v="72"/>
    </i>
    <i>
      <x v="13"/>
    </i>
    <i>
      <x v="87"/>
    </i>
    <i>
      <x v="54"/>
    </i>
    <i>
      <x v="1"/>
    </i>
    <i>
      <x v="23"/>
    </i>
    <i>
      <x v="93"/>
    </i>
    <i>
      <x v="41"/>
    </i>
    <i>
      <x v="31"/>
    </i>
    <i>
      <x v="92"/>
    </i>
    <i>
      <x v="5"/>
    </i>
    <i>
      <x v="94"/>
    </i>
    <i>
      <x v="10"/>
    </i>
    <i>
      <x v="46"/>
    </i>
    <i>
      <x v="3"/>
    </i>
    <i>
      <x v="81"/>
    </i>
    <i>
      <x v="22"/>
    </i>
    <i>
      <x v="59"/>
    </i>
    <i>
      <x v="38"/>
    </i>
    <i>
      <x v="58"/>
    </i>
    <i>
      <x v="50"/>
    </i>
    <i>
      <x v="64"/>
    </i>
    <i>
      <x v="27"/>
    </i>
    <i>
      <x v="42"/>
    </i>
    <i>
      <x v="47"/>
    </i>
    <i>
      <x v="43"/>
    </i>
    <i>
      <x v="60"/>
    </i>
    <i>
      <x v="34"/>
    </i>
    <i>
      <x v="15"/>
    </i>
    <i>
      <x v="61"/>
    </i>
    <i>
      <x v="73"/>
    </i>
    <i>
      <x v="9"/>
    </i>
    <i>
      <x v="56"/>
    </i>
    <i>
      <x v="7"/>
    </i>
    <i>
      <x v="88"/>
    </i>
    <i>
      <x v="57"/>
    </i>
    <i>
      <x v="14"/>
    </i>
    <i>
      <x v="37"/>
    </i>
    <i>
      <x v="75"/>
    </i>
    <i>
      <x v="33"/>
    </i>
    <i>
      <x v="26"/>
    </i>
    <i>
      <x v="32"/>
    </i>
    <i>
      <x v="83"/>
    </i>
    <i>
      <x v="11"/>
    </i>
    <i>
      <x v="55"/>
    </i>
    <i>
      <x v="17"/>
    </i>
    <i>
      <x v="77"/>
    </i>
    <i>
      <x v="28"/>
    </i>
    <i>
      <x v="76"/>
    </i>
    <i>
      <x v="74"/>
    </i>
    <i>
      <x v="78"/>
    </i>
    <i>
      <x v="2"/>
    </i>
    <i>
      <x v="25"/>
    </i>
    <i>
      <x v="39"/>
    </i>
    <i>
      <x v="35"/>
    </i>
    <i>
      <x v="91"/>
    </i>
    <i>
      <x v="29"/>
    </i>
    <i>
      <x v="30"/>
    </i>
    <i>
      <x/>
    </i>
    <i>
      <x v="40"/>
    </i>
    <i>
      <x v="84"/>
    </i>
    <i>
      <x v="52"/>
    </i>
    <i>
      <x v="6"/>
    </i>
    <i>
      <x v="65"/>
    </i>
    <i>
      <x v="63"/>
    </i>
    <i>
      <x v="24"/>
    </i>
    <i>
      <x v="44"/>
    </i>
    <i>
      <x v="80"/>
    </i>
    <i>
      <x v="70"/>
    </i>
    <i>
      <x v="4"/>
    </i>
    <i>
      <x v="69"/>
    </i>
    <i>
      <x v="49"/>
    </i>
    <i>
      <x v="53"/>
    </i>
    <i>
      <x v="48"/>
    </i>
    <i>
      <x v="45"/>
    </i>
    <i>
      <x v="89"/>
    </i>
    <i>
      <x v="20"/>
    </i>
    <i>
      <x v="66"/>
    </i>
    <i>
      <x v="51"/>
    </i>
    <i>
      <x v="85"/>
    </i>
    <i>
      <x v="8"/>
    </i>
    <i t="grand">
      <x/>
    </i>
  </rowItems>
  <colItems count="1">
    <i/>
  </colItems>
  <dataFields count="1">
    <dataField name="Average of Age" fld="4" subtotal="average" baseField="2" baseItem="3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15" totalsRowShown="0">
  <autoFilter ref="A1:J15"/>
  <tableColumns count="10">
    <tableColumn id="1" name="Order ID"/>
    <tableColumn id="2" name="Date" dataDxfId="1"/>
    <tableColumn id="3" name="Full_name"/>
    <tableColumn id="4" name="Last"/>
    <tableColumn id="5" name="age"/>
    <tableColumn id="6" name="Gender"/>
    <tableColumn id="7" name="units"/>
    <tableColumn id="8" name="Revenue"/>
    <tableColumn id="9" name="Payement_methode"/>
    <tableColumn id="10" name="Sales_pers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J14" totalsRowShown="0">
  <autoFilter ref="A1:J14"/>
  <tableColumns count="10">
    <tableColumn id="1" name="Order ID"/>
    <tableColumn id="2" name="Date" dataDxfId="0"/>
    <tableColumn id="3" name="Full_name"/>
    <tableColumn id="4" name="Last"/>
    <tableColumn id="5" name="age"/>
    <tableColumn id="6" name="Gender"/>
    <tableColumn id="7" name="units"/>
    <tableColumn id="8" name="Revenue"/>
    <tableColumn id="9" name="Payement_methode"/>
    <tableColumn id="10" name="Sales_pers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0"/>
  <sheetViews>
    <sheetView zoomScale="80" zoomScaleNormal="80" workbookViewId="0">
      <selection activeCell="N98" sqref="N98"/>
    </sheetView>
  </sheetViews>
  <sheetFormatPr baseColWidth="10" defaultColWidth="10.81640625" defaultRowHeight="15" x14ac:dyDescent="0.25"/>
  <cols>
    <col min="1" max="1" width="8.36328125" customWidth="1"/>
    <col min="2" max="2" width="10.81640625" style="2"/>
    <col min="3" max="3" width="14.08984375" customWidth="1"/>
    <col min="6" max="6" width="6" style="2" customWidth="1"/>
    <col min="7" max="7" width="8" customWidth="1"/>
    <col min="8" max="8" width="5.36328125" customWidth="1"/>
    <col min="9" max="9" width="6.36328125" customWidth="1"/>
    <col min="10" max="10" width="8.54296875" customWidth="1"/>
    <col min="11" max="11" width="10.81640625" customWidth="1"/>
    <col min="12" max="12" width="14.81640625" customWidth="1"/>
  </cols>
  <sheetData>
    <row r="2" spans="1:12" ht="29.25" customHeight="1" x14ac:dyDescent="0.2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4" t="s">
        <v>11</v>
      </c>
    </row>
    <row r="3" spans="1:12" x14ac:dyDescent="0.25">
      <c r="A3" s="1">
        <v>10507</v>
      </c>
      <c r="B3" s="2">
        <v>45095</v>
      </c>
      <c r="C3" t="s">
        <v>12</v>
      </c>
      <c r="D3" t="s">
        <v>13</v>
      </c>
      <c r="E3" t="s">
        <v>14</v>
      </c>
      <c r="F3" s="2">
        <v>55</v>
      </c>
      <c r="G3" t="s">
        <v>15</v>
      </c>
      <c r="H3">
        <v>400</v>
      </c>
      <c r="I3">
        <v>91</v>
      </c>
      <c r="J3">
        <v>36400</v>
      </c>
      <c r="K3" t="s">
        <v>16</v>
      </c>
      <c r="L3" t="s">
        <v>17</v>
      </c>
    </row>
    <row r="4" spans="1:12" x14ac:dyDescent="0.25">
      <c r="A4" s="1">
        <v>10534</v>
      </c>
      <c r="B4" s="2">
        <v>45100</v>
      </c>
      <c r="C4" t="s">
        <v>18</v>
      </c>
      <c r="D4" t="s">
        <v>19</v>
      </c>
      <c r="E4" t="s">
        <v>14</v>
      </c>
      <c r="F4" s="2">
        <v>60</v>
      </c>
      <c r="G4" t="s">
        <v>20</v>
      </c>
      <c r="H4">
        <v>400</v>
      </c>
      <c r="I4">
        <v>83.6</v>
      </c>
      <c r="J4">
        <v>33440</v>
      </c>
      <c r="K4" t="s">
        <v>21</v>
      </c>
      <c r="L4" t="s">
        <v>22</v>
      </c>
    </row>
    <row r="5" spans="1:12" x14ac:dyDescent="0.25">
      <c r="A5" s="1">
        <v>10537</v>
      </c>
      <c r="B5" s="2">
        <v>45101</v>
      </c>
      <c r="C5" t="s">
        <v>23</v>
      </c>
      <c r="D5" t="s">
        <v>24</v>
      </c>
      <c r="E5" t="s">
        <v>14</v>
      </c>
      <c r="F5" s="2">
        <v>58</v>
      </c>
      <c r="G5" t="s">
        <v>15</v>
      </c>
      <c r="H5">
        <v>320</v>
      </c>
      <c r="I5">
        <v>83.6</v>
      </c>
      <c r="J5">
        <v>26752</v>
      </c>
      <c r="K5" t="s">
        <v>16</v>
      </c>
      <c r="L5" t="s">
        <v>25</v>
      </c>
    </row>
    <row r="6" spans="1:12" x14ac:dyDescent="0.25">
      <c r="A6" s="1">
        <v>10538</v>
      </c>
      <c r="B6" s="2">
        <v>45101</v>
      </c>
      <c r="C6" t="s">
        <v>26</v>
      </c>
      <c r="D6" t="s">
        <v>27</v>
      </c>
      <c r="E6" t="s">
        <v>14</v>
      </c>
      <c r="F6" s="2">
        <v>49</v>
      </c>
      <c r="G6" t="s">
        <v>15</v>
      </c>
      <c r="H6">
        <v>320</v>
      </c>
      <c r="I6">
        <v>83.6</v>
      </c>
      <c r="J6">
        <v>26752</v>
      </c>
      <c r="K6" t="s">
        <v>16</v>
      </c>
      <c r="L6" t="s">
        <v>28</v>
      </c>
    </row>
    <row r="7" spans="1:12" x14ac:dyDescent="0.25">
      <c r="A7" s="1">
        <v>10542</v>
      </c>
      <c r="B7" s="2">
        <v>45102</v>
      </c>
      <c r="C7" t="s">
        <v>29</v>
      </c>
      <c r="D7" t="s">
        <v>30</v>
      </c>
      <c r="E7" t="s">
        <v>14</v>
      </c>
      <c r="F7" s="2">
        <v>42</v>
      </c>
      <c r="G7" t="s">
        <v>20</v>
      </c>
      <c r="H7">
        <v>400</v>
      </c>
      <c r="I7">
        <v>83.6</v>
      </c>
      <c r="J7">
        <v>33440</v>
      </c>
      <c r="K7" t="s">
        <v>16</v>
      </c>
      <c r="L7" t="s">
        <v>31</v>
      </c>
    </row>
    <row r="8" spans="1:12" x14ac:dyDescent="0.25">
      <c r="A8" s="1">
        <v>10547</v>
      </c>
      <c r="B8" s="2">
        <v>45103</v>
      </c>
      <c r="C8" t="s">
        <v>32</v>
      </c>
      <c r="D8" t="s">
        <v>33</v>
      </c>
      <c r="E8" t="s">
        <v>34</v>
      </c>
      <c r="F8" s="2">
        <v>51</v>
      </c>
      <c r="G8" t="s">
        <v>35</v>
      </c>
      <c r="H8">
        <v>250</v>
      </c>
      <c r="I8">
        <v>83.6</v>
      </c>
      <c r="J8">
        <v>20900</v>
      </c>
      <c r="K8" t="s">
        <v>16</v>
      </c>
      <c r="L8" t="s">
        <v>36</v>
      </c>
    </row>
    <row r="9" spans="1:12" x14ac:dyDescent="0.25">
      <c r="A9" s="1">
        <v>10485</v>
      </c>
      <c r="B9" s="2">
        <v>45091</v>
      </c>
      <c r="C9" t="s">
        <v>37</v>
      </c>
      <c r="D9" t="s">
        <v>38</v>
      </c>
      <c r="E9" t="s">
        <v>14</v>
      </c>
      <c r="F9" s="2">
        <v>51</v>
      </c>
      <c r="G9" t="s">
        <v>39</v>
      </c>
      <c r="H9">
        <v>320</v>
      </c>
      <c r="I9">
        <v>82</v>
      </c>
      <c r="J9">
        <v>26240</v>
      </c>
      <c r="K9" t="s">
        <v>16</v>
      </c>
      <c r="L9" t="s">
        <v>40</v>
      </c>
    </row>
    <row r="10" spans="1:12" x14ac:dyDescent="0.25">
      <c r="A10" s="1">
        <v>10453</v>
      </c>
      <c r="B10" s="2">
        <v>45084</v>
      </c>
      <c r="C10" t="s">
        <v>41</v>
      </c>
      <c r="D10" t="s">
        <v>42</v>
      </c>
      <c r="E10" t="s">
        <v>34</v>
      </c>
      <c r="F10" s="2">
        <v>50</v>
      </c>
      <c r="G10" t="s">
        <v>43</v>
      </c>
      <c r="H10">
        <v>250</v>
      </c>
      <c r="I10">
        <v>80</v>
      </c>
      <c r="J10">
        <v>20000</v>
      </c>
      <c r="K10" t="s">
        <v>44</v>
      </c>
      <c r="L10" t="s">
        <v>25</v>
      </c>
    </row>
    <row r="11" spans="1:12" x14ac:dyDescent="0.25">
      <c r="A11" s="1">
        <v>10477</v>
      </c>
      <c r="B11" s="2">
        <v>45089</v>
      </c>
      <c r="C11" t="s">
        <v>45</v>
      </c>
      <c r="D11" t="s">
        <v>46</v>
      </c>
      <c r="E11" t="s">
        <v>34</v>
      </c>
      <c r="F11" s="2">
        <v>59</v>
      </c>
      <c r="G11" t="s">
        <v>15</v>
      </c>
      <c r="H11">
        <v>150</v>
      </c>
      <c r="I11">
        <v>80</v>
      </c>
      <c r="J11">
        <v>12000</v>
      </c>
      <c r="K11" t="s">
        <v>16</v>
      </c>
      <c r="L11" t="s">
        <v>47</v>
      </c>
    </row>
    <row r="12" spans="1:12" x14ac:dyDescent="0.25">
      <c r="A12" s="1">
        <v>10486</v>
      </c>
      <c r="B12" s="2">
        <v>45091</v>
      </c>
      <c r="C12" t="s">
        <v>48</v>
      </c>
      <c r="D12" t="s">
        <v>49</v>
      </c>
      <c r="E12" t="s">
        <v>34</v>
      </c>
      <c r="F12" s="2">
        <v>48</v>
      </c>
      <c r="G12" t="s">
        <v>50</v>
      </c>
      <c r="H12">
        <v>150</v>
      </c>
      <c r="I12">
        <v>80</v>
      </c>
      <c r="J12">
        <v>12000</v>
      </c>
      <c r="K12" t="s">
        <v>16</v>
      </c>
      <c r="L12" t="s">
        <v>51</v>
      </c>
    </row>
    <row r="13" spans="1:12" x14ac:dyDescent="0.25">
      <c r="A13" s="1">
        <v>10490</v>
      </c>
      <c r="B13" s="2">
        <v>45092</v>
      </c>
      <c r="C13" t="s">
        <v>52</v>
      </c>
      <c r="D13" t="s">
        <v>53</v>
      </c>
      <c r="E13" t="s">
        <v>34</v>
      </c>
      <c r="F13" s="2">
        <v>45</v>
      </c>
      <c r="G13" t="s">
        <v>39</v>
      </c>
      <c r="H13">
        <v>150</v>
      </c>
      <c r="I13">
        <v>80</v>
      </c>
      <c r="J13">
        <v>12000</v>
      </c>
      <c r="K13" t="s">
        <v>16</v>
      </c>
      <c r="L13" t="s">
        <v>28</v>
      </c>
    </row>
    <row r="14" spans="1:12" x14ac:dyDescent="0.25">
      <c r="A14" s="1">
        <v>10502</v>
      </c>
      <c r="B14" s="2">
        <v>45094</v>
      </c>
      <c r="C14" t="s">
        <v>54</v>
      </c>
      <c r="D14" t="s">
        <v>55</v>
      </c>
      <c r="E14" t="s">
        <v>34</v>
      </c>
      <c r="F14" s="2">
        <v>56</v>
      </c>
      <c r="G14" t="s">
        <v>43</v>
      </c>
      <c r="H14">
        <v>320</v>
      </c>
      <c r="I14">
        <v>80</v>
      </c>
      <c r="J14">
        <v>25600</v>
      </c>
      <c r="K14" t="s">
        <v>16</v>
      </c>
      <c r="L14" t="s">
        <v>28</v>
      </c>
    </row>
    <row r="15" spans="1:12" x14ac:dyDescent="0.25">
      <c r="A15" s="1">
        <v>10523</v>
      </c>
      <c r="B15" s="2">
        <v>45098</v>
      </c>
      <c r="C15" t="s">
        <v>56</v>
      </c>
      <c r="D15" t="s">
        <v>57</v>
      </c>
      <c r="E15" t="s">
        <v>14</v>
      </c>
      <c r="F15" s="2">
        <v>47</v>
      </c>
      <c r="G15" t="s">
        <v>39</v>
      </c>
      <c r="H15">
        <v>400</v>
      </c>
      <c r="I15">
        <v>80</v>
      </c>
      <c r="J15">
        <v>32000</v>
      </c>
      <c r="K15" t="s">
        <v>21</v>
      </c>
      <c r="L15" t="s">
        <v>58</v>
      </c>
    </row>
    <row r="16" spans="1:12" x14ac:dyDescent="0.25">
      <c r="A16" s="1">
        <v>10525</v>
      </c>
      <c r="B16" s="2">
        <v>45099</v>
      </c>
      <c r="C16" t="s">
        <v>59</v>
      </c>
      <c r="D16" t="s">
        <v>60</v>
      </c>
      <c r="E16" t="s">
        <v>14</v>
      </c>
      <c r="F16" s="2">
        <v>60</v>
      </c>
      <c r="G16" t="s">
        <v>43</v>
      </c>
      <c r="H16">
        <v>320</v>
      </c>
      <c r="I16">
        <v>79.8</v>
      </c>
      <c r="J16">
        <v>25536</v>
      </c>
      <c r="K16" t="s">
        <v>21</v>
      </c>
      <c r="L16" t="s">
        <v>61</v>
      </c>
    </row>
    <row r="17" spans="1:12" x14ac:dyDescent="0.25">
      <c r="A17" s="1">
        <v>10535</v>
      </c>
      <c r="B17" s="2">
        <v>45101</v>
      </c>
      <c r="C17" t="s">
        <v>62</v>
      </c>
      <c r="D17" t="s">
        <v>63</v>
      </c>
      <c r="E17" t="s">
        <v>14</v>
      </c>
      <c r="F17" s="2">
        <v>44</v>
      </c>
      <c r="G17" t="s">
        <v>20</v>
      </c>
      <c r="H17">
        <v>400</v>
      </c>
      <c r="I17">
        <v>79.599999999999994</v>
      </c>
      <c r="J17">
        <v>31839.999999999996</v>
      </c>
      <c r="K17" t="s">
        <v>16</v>
      </c>
      <c r="L17" t="s">
        <v>25</v>
      </c>
    </row>
    <row r="18" spans="1:12" x14ac:dyDescent="0.25">
      <c r="A18" s="1">
        <v>10461</v>
      </c>
      <c r="B18" s="2">
        <v>45086</v>
      </c>
      <c r="C18" t="s">
        <v>64</v>
      </c>
      <c r="D18" t="s">
        <v>65</v>
      </c>
      <c r="E18" t="s">
        <v>34</v>
      </c>
      <c r="F18" s="2">
        <v>57</v>
      </c>
      <c r="G18" t="s">
        <v>39</v>
      </c>
      <c r="H18">
        <v>400</v>
      </c>
      <c r="I18">
        <v>76.000000000000014</v>
      </c>
      <c r="J18">
        <v>30400.000000000007</v>
      </c>
      <c r="K18" t="s">
        <v>16</v>
      </c>
      <c r="L18" t="s">
        <v>66</v>
      </c>
    </row>
    <row r="19" spans="1:12" x14ac:dyDescent="0.25">
      <c r="A19" s="1">
        <v>10506</v>
      </c>
      <c r="B19" s="2">
        <v>45095</v>
      </c>
      <c r="C19" t="s">
        <v>67</v>
      </c>
      <c r="D19" t="s">
        <v>68</v>
      </c>
      <c r="E19" t="s">
        <v>14</v>
      </c>
      <c r="F19" s="2">
        <v>56</v>
      </c>
      <c r="G19" t="s">
        <v>15</v>
      </c>
      <c r="H19">
        <v>150</v>
      </c>
      <c r="I19">
        <v>76.000000000000014</v>
      </c>
      <c r="J19">
        <v>11400.000000000002</v>
      </c>
      <c r="K19" t="s">
        <v>16</v>
      </c>
      <c r="L19" t="s">
        <v>25</v>
      </c>
    </row>
    <row r="20" spans="1:12" x14ac:dyDescent="0.25">
      <c r="A20" s="1">
        <v>10531</v>
      </c>
      <c r="B20" s="2">
        <v>45100</v>
      </c>
      <c r="C20" t="s">
        <v>69</v>
      </c>
      <c r="D20" t="s">
        <v>70</v>
      </c>
      <c r="E20" t="s">
        <v>14</v>
      </c>
      <c r="F20" s="2">
        <v>53</v>
      </c>
      <c r="G20" t="s">
        <v>20</v>
      </c>
      <c r="H20">
        <v>400</v>
      </c>
      <c r="I20">
        <v>76.000000000000014</v>
      </c>
      <c r="J20">
        <v>30400.000000000007</v>
      </c>
      <c r="K20" t="s">
        <v>21</v>
      </c>
      <c r="L20" t="s">
        <v>58</v>
      </c>
    </row>
    <row r="21" spans="1:12" x14ac:dyDescent="0.25">
      <c r="A21" s="1">
        <v>10536</v>
      </c>
      <c r="B21" s="2">
        <v>45101</v>
      </c>
      <c r="C21" t="s">
        <v>71</v>
      </c>
      <c r="D21" t="s">
        <v>72</v>
      </c>
      <c r="E21" t="s">
        <v>14</v>
      </c>
      <c r="F21" s="2">
        <v>45</v>
      </c>
      <c r="G21" t="s">
        <v>15</v>
      </c>
      <c r="H21">
        <v>150</v>
      </c>
      <c r="I21">
        <v>76.000000000000014</v>
      </c>
      <c r="J21">
        <v>11400.000000000002</v>
      </c>
      <c r="K21" t="s">
        <v>16</v>
      </c>
      <c r="L21" t="s">
        <v>25</v>
      </c>
    </row>
    <row r="22" spans="1:12" x14ac:dyDescent="0.25">
      <c r="A22" s="1">
        <v>10541</v>
      </c>
      <c r="B22" s="2">
        <v>45102</v>
      </c>
      <c r="C22" t="s">
        <v>73</v>
      </c>
      <c r="D22" t="s">
        <v>74</v>
      </c>
      <c r="E22" t="s">
        <v>14</v>
      </c>
      <c r="F22" s="2">
        <v>68</v>
      </c>
      <c r="G22" t="s">
        <v>20</v>
      </c>
      <c r="H22">
        <v>320</v>
      </c>
      <c r="I22">
        <v>76.000000000000014</v>
      </c>
      <c r="J22">
        <v>24320.000000000004</v>
      </c>
      <c r="K22" t="s">
        <v>16</v>
      </c>
      <c r="L22" t="s">
        <v>36</v>
      </c>
    </row>
    <row r="23" spans="1:12" x14ac:dyDescent="0.25">
      <c r="A23" s="1">
        <v>10546</v>
      </c>
      <c r="B23" s="2">
        <v>45103</v>
      </c>
      <c r="C23" t="s">
        <v>75</v>
      </c>
      <c r="D23" t="s">
        <v>76</v>
      </c>
      <c r="E23" t="s">
        <v>34</v>
      </c>
      <c r="F23" s="2">
        <v>54</v>
      </c>
      <c r="G23" t="s">
        <v>39</v>
      </c>
      <c r="H23">
        <v>320</v>
      </c>
      <c r="I23">
        <v>76.000000000000014</v>
      </c>
      <c r="J23">
        <v>24320.000000000004</v>
      </c>
      <c r="K23" t="s">
        <v>16</v>
      </c>
      <c r="L23" t="s">
        <v>36</v>
      </c>
    </row>
    <row r="24" spans="1:12" x14ac:dyDescent="0.25">
      <c r="A24" s="1">
        <v>10501</v>
      </c>
      <c r="B24" s="2">
        <v>45094</v>
      </c>
      <c r="C24" t="s">
        <v>77</v>
      </c>
      <c r="D24" t="s">
        <v>78</v>
      </c>
      <c r="E24" t="s">
        <v>34</v>
      </c>
      <c r="F24" s="2">
        <v>40</v>
      </c>
      <c r="G24" t="s">
        <v>43</v>
      </c>
      <c r="H24">
        <v>320</v>
      </c>
      <c r="I24">
        <v>76</v>
      </c>
      <c r="J24">
        <v>24320</v>
      </c>
      <c r="K24" t="s">
        <v>16</v>
      </c>
      <c r="L24" t="s">
        <v>25</v>
      </c>
    </row>
    <row r="25" spans="1:12" x14ac:dyDescent="0.25">
      <c r="A25" s="1">
        <v>10456</v>
      </c>
      <c r="B25" s="2">
        <v>45085</v>
      </c>
      <c r="C25" t="s">
        <v>79</v>
      </c>
      <c r="D25" t="s">
        <v>80</v>
      </c>
      <c r="E25" t="s">
        <v>34</v>
      </c>
      <c r="F25" s="2">
        <v>49</v>
      </c>
      <c r="G25" t="s">
        <v>50</v>
      </c>
      <c r="H25">
        <v>320</v>
      </c>
      <c r="I25">
        <v>75</v>
      </c>
      <c r="J25">
        <v>24000</v>
      </c>
      <c r="K25" t="s">
        <v>16</v>
      </c>
      <c r="L25" t="s">
        <v>81</v>
      </c>
    </row>
    <row r="26" spans="1:12" x14ac:dyDescent="0.25">
      <c r="A26" s="1">
        <v>10457</v>
      </c>
      <c r="B26" s="2">
        <v>45085</v>
      </c>
      <c r="C26" t="s">
        <v>82</v>
      </c>
      <c r="D26" t="s">
        <v>83</v>
      </c>
      <c r="E26" t="s">
        <v>34</v>
      </c>
      <c r="F26" s="2">
        <v>49</v>
      </c>
      <c r="G26" t="s">
        <v>50</v>
      </c>
      <c r="H26">
        <v>400</v>
      </c>
      <c r="I26">
        <v>75</v>
      </c>
      <c r="J26">
        <v>30000</v>
      </c>
      <c r="K26" t="s">
        <v>16</v>
      </c>
      <c r="L26" t="s">
        <v>61</v>
      </c>
    </row>
    <row r="27" spans="1:12" x14ac:dyDescent="0.25">
      <c r="A27" s="1">
        <v>10463</v>
      </c>
      <c r="B27" s="2">
        <v>45086</v>
      </c>
      <c r="C27" t="s">
        <v>84</v>
      </c>
      <c r="D27" t="s">
        <v>85</v>
      </c>
      <c r="E27" t="s">
        <v>14</v>
      </c>
      <c r="F27" s="2">
        <v>48</v>
      </c>
      <c r="G27" t="s">
        <v>39</v>
      </c>
      <c r="H27">
        <v>150</v>
      </c>
      <c r="I27">
        <v>75</v>
      </c>
      <c r="J27">
        <v>11250</v>
      </c>
      <c r="K27" t="s">
        <v>16</v>
      </c>
      <c r="L27" t="s">
        <v>66</v>
      </c>
    </row>
    <row r="28" spans="1:12" x14ac:dyDescent="0.25">
      <c r="A28" s="1">
        <v>10468</v>
      </c>
      <c r="B28" s="2">
        <v>45087</v>
      </c>
      <c r="C28" t="s">
        <v>86</v>
      </c>
      <c r="D28" t="s">
        <v>87</v>
      </c>
      <c r="E28" t="s">
        <v>14</v>
      </c>
      <c r="F28" s="2">
        <v>67</v>
      </c>
      <c r="G28" t="s">
        <v>15</v>
      </c>
      <c r="H28">
        <v>150</v>
      </c>
      <c r="I28">
        <v>75</v>
      </c>
      <c r="J28">
        <v>11250</v>
      </c>
      <c r="K28" t="s">
        <v>16</v>
      </c>
      <c r="L28" t="s">
        <v>47</v>
      </c>
    </row>
    <row r="29" spans="1:12" x14ac:dyDescent="0.25">
      <c r="A29" s="1">
        <v>10470</v>
      </c>
      <c r="B29" s="2">
        <v>45088</v>
      </c>
      <c r="C29" t="s">
        <v>88</v>
      </c>
      <c r="D29" t="s">
        <v>89</v>
      </c>
      <c r="E29" t="s">
        <v>34</v>
      </c>
      <c r="F29" s="2">
        <v>59</v>
      </c>
      <c r="G29" t="s">
        <v>15</v>
      </c>
      <c r="H29">
        <v>250</v>
      </c>
      <c r="I29">
        <v>75</v>
      </c>
      <c r="J29">
        <v>18750</v>
      </c>
      <c r="K29" t="s">
        <v>16</v>
      </c>
      <c r="L29" t="s">
        <v>47</v>
      </c>
    </row>
    <row r="30" spans="1:12" x14ac:dyDescent="0.25">
      <c r="A30" s="1">
        <v>10473</v>
      </c>
      <c r="B30" s="2">
        <v>45088</v>
      </c>
      <c r="C30" t="s">
        <v>90</v>
      </c>
      <c r="D30" t="s">
        <v>91</v>
      </c>
      <c r="E30" t="s">
        <v>34</v>
      </c>
      <c r="F30" s="2">
        <v>63</v>
      </c>
      <c r="G30" t="s">
        <v>50</v>
      </c>
      <c r="H30">
        <v>250</v>
      </c>
      <c r="I30">
        <v>75</v>
      </c>
      <c r="J30">
        <v>18750</v>
      </c>
      <c r="K30" t="s">
        <v>16</v>
      </c>
      <c r="L30" t="s">
        <v>25</v>
      </c>
    </row>
    <row r="31" spans="1:12" x14ac:dyDescent="0.25">
      <c r="A31" s="1">
        <v>10478</v>
      </c>
      <c r="B31" s="2">
        <v>45089</v>
      </c>
      <c r="C31" t="s">
        <v>92</v>
      </c>
      <c r="D31" t="s">
        <v>19</v>
      </c>
      <c r="E31" t="s">
        <v>34</v>
      </c>
      <c r="F31" s="2">
        <v>62</v>
      </c>
      <c r="G31" t="s">
        <v>39</v>
      </c>
      <c r="H31">
        <v>250</v>
      </c>
      <c r="I31">
        <v>75</v>
      </c>
      <c r="J31">
        <v>18750</v>
      </c>
      <c r="K31" t="s">
        <v>16</v>
      </c>
      <c r="L31" t="s">
        <v>47</v>
      </c>
    </row>
    <row r="32" spans="1:12" x14ac:dyDescent="0.25">
      <c r="A32" s="1">
        <v>10481</v>
      </c>
      <c r="B32" s="2">
        <v>45090</v>
      </c>
      <c r="C32" t="s">
        <v>93</v>
      </c>
      <c r="D32" t="s">
        <v>94</v>
      </c>
      <c r="E32" t="s">
        <v>34</v>
      </c>
      <c r="F32" s="2">
        <v>67</v>
      </c>
      <c r="G32" t="s">
        <v>43</v>
      </c>
      <c r="H32">
        <v>250</v>
      </c>
      <c r="I32">
        <v>75</v>
      </c>
      <c r="J32">
        <v>18750</v>
      </c>
      <c r="K32" t="s">
        <v>16</v>
      </c>
      <c r="L32" t="s">
        <v>47</v>
      </c>
    </row>
    <row r="33" spans="1:12" x14ac:dyDescent="0.25">
      <c r="A33" s="1">
        <v>10481</v>
      </c>
      <c r="B33" s="2">
        <v>45090</v>
      </c>
      <c r="C33" t="s">
        <v>93</v>
      </c>
      <c r="D33" t="s">
        <v>94</v>
      </c>
      <c r="E33" t="s">
        <v>34</v>
      </c>
      <c r="F33" s="2">
        <v>67</v>
      </c>
      <c r="G33" t="s">
        <v>43</v>
      </c>
      <c r="H33">
        <v>400</v>
      </c>
      <c r="I33">
        <v>75</v>
      </c>
      <c r="J33">
        <v>30000</v>
      </c>
      <c r="K33" t="s">
        <v>16</v>
      </c>
      <c r="L33" t="s">
        <v>25</v>
      </c>
    </row>
    <row r="34" spans="1:12" x14ac:dyDescent="0.25">
      <c r="A34" s="1">
        <v>10510</v>
      </c>
      <c r="B34" s="2">
        <v>45096</v>
      </c>
      <c r="C34" t="s">
        <v>95</v>
      </c>
      <c r="D34" t="s">
        <v>96</v>
      </c>
      <c r="E34" t="s">
        <v>14</v>
      </c>
      <c r="F34" s="2">
        <v>60</v>
      </c>
      <c r="G34" t="s">
        <v>97</v>
      </c>
      <c r="H34">
        <v>150</v>
      </c>
      <c r="I34">
        <v>75</v>
      </c>
      <c r="J34">
        <v>11250</v>
      </c>
      <c r="K34" t="s">
        <v>16</v>
      </c>
      <c r="L34" t="s">
        <v>25</v>
      </c>
    </row>
    <row r="35" spans="1:12" x14ac:dyDescent="0.25">
      <c r="A35" s="1">
        <v>10529</v>
      </c>
      <c r="B35" s="2">
        <v>45099</v>
      </c>
      <c r="C35" t="s">
        <v>98</v>
      </c>
      <c r="D35" t="s">
        <v>99</v>
      </c>
      <c r="E35" t="s">
        <v>14</v>
      </c>
      <c r="F35" s="2">
        <v>62</v>
      </c>
      <c r="G35" t="s">
        <v>20</v>
      </c>
      <c r="H35">
        <v>320</v>
      </c>
      <c r="I35">
        <v>73.98</v>
      </c>
      <c r="J35">
        <v>23673.600000000002</v>
      </c>
      <c r="K35" t="s">
        <v>21</v>
      </c>
      <c r="L35" t="s">
        <v>100</v>
      </c>
    </row>
    <row r="36" spans="1:12" x14ac:dyDescent="0.25">
      <c r="A36" s="1">
        <v>10476</v>
      </c>
      <c r="B36" s="2">
        <v>45089</v>
      </c>
      <c r="C36" t="s">
        <v>101</v>
      </c>
      <c r="D36" t="s">
        <v>102</v>
      </c>
      <c r="E36" t="s">
        <v>34</v>
      </c>
      <c r="F36" s="2">
        <v>52</v>
      </c>
      <c r="G36" t="s">
        <v>15</v>
      </c>
      <c r="H36">
        <v>250</v>
      </c>
      <c r="I36">
        <v>70</v>
      </c>
      <c r="J36">
        <v>17500</v>
      </c>
      <c r="K36" t="s">
        <v>16</v>
      </c>
      <c r="L36" t="s">
        <v>25</v>
      </c>
    </row>
    <row r="37" spans="1:12" x14ac:dyDescent="0.25">
      <c r="A37" s="1">
        <v>10487</v>
      </c>
      <c r="B37" s="2">
        <v>45091</v>
      </c>
      <c r="C37" t="s">
        <v>103</v>
      </c>
      <c r="D37" t="s">
        <v>104</v>
      </c>
      <c r="E37" t="s">
        <v>34</v>
      </c>
      <c r="F37" s="2">
        <v>41</v>
      </c>
      <c r="G37" t="s">
        <v>50</v>
      </c>
      <c r="H37">
        <v>320</v>
      </c>
      <c r="I37">
        <v>70</v>
      </c>
      <c r="J37">
        <v>22400</v>
      </c>
      <c r="K37" t="s">
        <v>16</v>
      </c>
      <c r="L37" t="s">
        <v>105</v>
      </c>
    </row>
    <row r="38" spans="1:12" x14ac:dyDescent="0.25">
      <c r="A38" s="1">
        <v>10509</v>
      </c>
      <c r="B38" s="2">
        <v>45095</v>
      </c>
      <c r="C38" t="s">
        <v>106</v>
      </c>
      <c r="D38" t="s">
        <v>107</v>
      </c>
      <c r="E38" t="s">
        <v>14</v>
      </c>
      <c r="F38" s="2">
        <v>51</v>
      </c>
      <c r="G38" t="s">
        <v>15</v>
      </c>
      <c r="H38">
        <v>320</v>
      </c>
      <c r="I38">
        <v>70</v>
      </c>
      <c r="J38">
        <v>22400</v>
      </c>
      <c r="K38" t="s">
        <v>16</v>
      </c>
      <c r="L38" t="s">
        <v>25</v>
      </c>
    </row>
    <row r="39" spans="1:12" x14ac:dyDescent="0.25">
      <c r="A39" s="1">
        <v>10500</v>
      </c>
      <c r="B39" s="2">
        <v>45094</v>
      </c>
      <c r="C39" t="s">
        <v>108</v>
      </c>
      <c r="D39" t="s">
        <v>109</v>
      </c>
      <c r="E39" t="s">
        <v>34</v>
      </c>
      <c r="F39" s="2">
        <v>54</v>
      </c>
      <c r="G39" t="s">
        <v>43</v>
      </c>
      <c r="H39">
        <v>400</v>
      </c>
      <c r="I39">
        <v>67</v>
      </c>
      <c r="J39">
        <v>26800</v>
      </c>
      <c r="K39" t="s">
        <v>16</v>
      </c>
      <c r="L39" t="s">
        <v>25</v>
      </c>
    </row>
    <row r="40" spans="1:12" x14ac:dyDescent="0.25">
      <c r="A40" s="1">
        <v>10515</v>
      </c>
      <c r="B40" s="2">
        <v>45097</v>
      </c>
      <c r="C40" t="s">
        <v>110</v>
      </c>
      <c r="D40" t="s">
        <v>111</v>
      </c>
      <c r="E40" t="s">
        <v>14</v>
      </c>
      <c r="F40" s="2">
        <v>58</v>
      </c>
      <c r="G40" t="s">
        <v>97</v>
      </c>
      <c r="H40">
        <v>150</v>
      </c>
      <c r="I40">
        <v>63</v>
      </c>
      <c r="J40">
        <v>9450</v>
      </c>
      <c r="K40" t="s">
        <v>21</v>
      </c>
      <c r="L40" t="s">
        <v>105</v>
      </c>
    </row>
    <row r="41" spans="1:12" x14ac:dyDescent="0.25">
      <c r="A41" s="1">
        <v>10516</v>
      </c>
      <c r="B41" s="2">
        <v>45097</v>
      </c>
      <c r="C41" t="s">
        <v>112</v>
      </c>
      <c r="D41" t="s">
        <v>113</v>
      </c>
      <c r="E41" t="s">
        <v>14</v>
      </c>
      <c r="F41" s="2">
        <v>55</v>
      </c>
      <c r="G41" t="s">
        <v>97</v>
      </c>
      <c r="H41">
        <v>320</v>
      </c>
      <c r="I41">
        <v>63</v>
      </c>
      <c r="J41">
        <v>20160</v>
      </c>
      <c r="K41" t="s">
        <v>21</v>
      </c>
      <c r="L41" t="s">
        <v>105</v>
      </c>
    </row>
    <row r="42" spans="1:12" x14ac:dyDescent="0.25">
      <c r="A42" s="1">
        <v>10483</v>
      </c>
      <c r="B42" s="2">
        <v>45090</v>
      </c>
      <c r="C42" t="s">
        <v>114</v>
      </c>
      <c r="D42" t="s">
        <v>115</v>
      </c>
      <c r="E42" t="s">
        <v>14</v>
      </c>
      <c r="F42" s="2">
        <v>52</v>
      </c>
      <c r="G42" t="s">
        <v>97</v>
      </c>
      <c r="H42">
        <v>150</v>
      </c>
      <c r="I42">
        <v>63</v>
      </c>
      <c r="J42">
        <v>9450</v>
      </c>
      <c r="K42" t="s">
        <v>16</v>
      </c>
      <c r="L42" t="s">
        <v>116</v>
      </c>
    </row>
    <row r="43" spans="1:12" x14ac:dyDescent="0.25">
      <c r="A43" s="1">
        <v>10468</v>
      </c>
      <c r="B43" s="2">
        <v>45087</v>
      </c>
      <c r="C43" t="s">
        <v>117</v>
      </c>
      <c r="D43" t="s">
        <v>118</v>
      </c>
      <c r="E43" t="s">
        <v>34</v>
      </c>
      <c r="F43" s="2">
        <v>53</v>
      </c>
      <c r="G43" t="s">
        <v>15</v>
      </c>
      <c r="H43">
        <v>400</v>
      </c>
      <c r="I43">
        <v>60</v>
      </c>
      <c r="J43">
        <v>24000</v>
      </c>
      <c r="K43" t="s">
        <v>16</v>
      </c>
      <c r="L43" t="s">
        <v>47</v>
      </c>
    </row>
    <row r="44" spans="1:12" x14ac:dyDescent="0.25">
      <c r="A44" s="1">
        <v>10475</v>
      </c>
      <c r="B44" s="2">
        <v>45089</v>
      </c>
      <c r="C44" t="s">
        <v>109</v>
      </c>
      <c r="D44" t="s">
        <v>119</v>
      </c>
      <c r="E44" t="s">
        <v>34</v>
      </c>
      <c r="F44" s="2">
        <v>46</v>
      </c>
      <c r="G44" t="s">
        <v>15</v>
      </c>
      <c r="H44">
        <v>320</v>
      </c>
      <c r="I44">
        <v>60</v>
      </c>
      <c r="J44">
        <v>19200</v>
      </c>
      <c r="K44" t="s">
        <v>16</v>
      </c>
      <c r="L44" t="s">
        <v>25</v>
      </c>
    </row>
    <row r="45" spans="1:12" x14ac:dyDescent="0.25">
      <c r="A45" s="1">
        <v>10480</v>
      </c>
      <c r="B45" s="2">
        <v>45090</v>
      </c>
      <c r="C45" t="s">
        <v>120</v>
      </c>
      <c r="D45" t="s">
        <v>121</v>
      </c>
      <c r="E45" t="s">
        <v>34</v>
      </c>
      <c r="F45" s="2">
        <v>52</v>
      </c>
      <c r="G45" t="s">
        <v>43</v>
      </c>
      <c r="H45">
        <v>250</v>
      </c>
      <c r="I45">
        <v>60</v>
      </c>
      <c r="J45">
        <v>15000</v>
      </c>
      <c r="K45" t="s">
        <v>16</v>
      </c>
      <c r="L45" t="s">
        <v>47</v>
      </c>
    </row>
    <row r="46" spans="1:12" x14ac:dyDescent="0.25">
      <c r="A46" s="1">
        <v>10495</v>
      </c>
      <c r="B46" s="2">
        <v>45093</v>
      </c>
      <c r="C46" t="s">
        <v>122</v>
      </c>
      <c r="D46" t="s">
        <v>123</v>
      </c>
      <c r="E46" t="s">
        <v>34</v>
      </c>
      <c r="F46" s="2">
        <v>61</v>
      </c>
      <c r="G46" t="s">
        <v>50</v>
      </c>
      <c r="H46">
        <v>150</v>
      </c>
      <c r="I46">
        <v>60</v>
      </c>
      <c r="J46">
        <v>9000</v>
      </c>
      <c r="K46" t="s">
        <v>16</v>
      </c>
      <c r="L46" t="s">
        <v>25</v>
      </c>
    </row>
    <row r="47" spans="1:12" x14ac:dyDescent="0.25">
      <c r="A47" s="1">
        <v>10484</v>
      </c>
      <c r="B47" s="2">
        <v>45090</v>
      </c>
      <c r="C47" t="s">
        <v>124</v>
      </c>
      <c r="D47" t="s">
        <v>125</v>
      </c>
      <c r="E47" t="s">
        <v>14</v>
      </c>
      <c r="F47" s="2">
        <v>44</v>
      </c>
      <c r="G47" t="s">
        <v>97</v>
      </c>
      <c r="H47">
        <v>150</v>
      </c>
      <c r="I47">
        <v>60</v>
      </c>
      <c r="J47">
        <v>9000</v>
      </c>
      <c r="K47" t="s">
        <v>16</v>
      </c>
      <c r="L47" t="s">
        <v>116</v>
      </c>
    </row>
    <row r="48" spans="1:12" x14ac:dyDescent="0.25">
      <c r="A48" s="1">
        <v>10543</v>
      </c>
      <c r="B48" s="2">
        <v>45102</v>
      </c>
      <c r="C48" t="s">
        <v>126</v>
      </c>
      <c r="D48" t="s">
        <v>127</v>
      </c>
      <c r="E48" t="s">
        <v>14</v>
      </c>
      <c r="F48" s="2">
        <v>55</v>
      </c>
      <c r="G48" t="s">
        <v>35</v>
      </c>
      <c r="H48">
        <v>400</v>
      </c>
      <c r="I48">
        <v>59.8</v>
      </c>
      <c r="J48">
        <v>23920</v>
      </c>
      <c r="K48" t="s">
        <v>16</v>
      </c>
      <c r="L48" t="s">
        <v>128</v>
      </c>
    </row>
    <row r="49" spans="1:12" x14ac:dyDescent="0.25">
      <c r="A49" s="1">
        <v>10466</v>
      </c>
      <c r="B49" s="2">
        <v>45087</v>
      </c>
      <c r="C49" t="s">
        <v>129</v>
      </c>
      <c r="D49" t="s">
        <v>130</v>
      </c>
      <c r="E49" t="s">
        <v>34</v>
      </c>
      <c r="F49" s="2">
        <v>37</v>
      </c>
      <c r="G49" t="s">
        <v>15</v>
      </c>
      <c r="H49">
        <v>250</v>
      </c>
      <c r="I49">
        <v>50</v>
      </c>
      <c r="J49">
        <v>12500</v>
      </c>
      <c r="K49" t="s">
        <v>16</v>
      </c>
      <c r="L49" t="s">
        <v>47</v>
      </c>
    </row>
    <row r="50" spans="1:12" x14ac:dyDescent="0.25">
      <c r="A50" s="1">
        <v>10467</v>
      </c>
      <c r="B50" s="2">
        <v>45087</v>
      </c>
      <c r="C50" t="s">
        <v>131</v>
      </c>
      <c r="D50" t="s">
        <v>132</v>
      </c>
      <c r="E50" t="s">
        <v>34</v>
      </c>
      <c r="F50" s="2">
        <v>39</v>
      </c>
      <c r="G50" t="s">
        <v>15</v>
      </c>
      <c r="H50">
        <v>400</v>
      </c>
      <c r="I50">
        <v>50</v>
      </c>
      <c r="J50">
        <v>20000</v>
      </c>
      <c r="K50" t="s">
        <v>16</v>
      </c>
      <c r="L50" t="s">
        <v>47</v>
      </c>
    </row>
    <row r="51" spans="1:12" x14ac:dyDescent="0.25">
      <c r="A51" s="1">
        <v>10532</v>
      </c>
      <c r="B51" s="2">
        <v>45100</v>
      </c>
      <c r="C51" t="s">
        <v>133</v>
      </c>
      <c r="D51" t="s">
        <v>134</v>
      </c>
      <c r="E51" t="s">
        <v>14</v>
      </c>
      <c r="F51" s="2">
        <v>28</v>
      </c>
      <c r="G51" t="s">
        <v>20</v>
      </c>
      <c r="H51">
        <v>400</v>
      </c>
      <c r="I51">
        <v>45.6</v>
      </c>
      <c r="J51">
        <v>18240</v>
      </c>
      <c r="K51" t="s">
        <v>21</v>
      </c>
      <c r="L51" t="s">
        <v>105</v>
      </c>
    </row>
    <row r="52" spans="1:12" x14ac:dyDescent="0.25">
      <c r="A52" s="1">
        <v>10533</v>
      </c>
      <c r="B52" s="2">
        <v>45100</v>
      </c>
      <c r="C52" t="s">
        <v>135</v>
      </c>
      <c r="D52" t="s">
        <v>136</v>
      </c>
      <c r="E52" t="s">
        <v>14</v>
      </c>
      <c r="F52" s="2">
        <v>37</v>
      </c>
      <c r="G52" t="s">
        <v>20</v>
      </c>
      <c r="H52">
        <v>400</v>
      </c>
      <c r="I52">
        <v>45.6</v>
      </c>
      <c r="J52">
        <v>18240</v>
      </c>
      <c r="K52" t="s">
        <v>21</v>
      </c>
      <c r="L52" t="s">
        <v>105</v>
      </c>
    </row>
    <row r="53" spans="1:12" x14ac:dyDescent="0.25">
      <c r="A53" s="1">
        <v>10527</v>
      </c>
      <c r="B53" s="2">
        <v>45099</v>
      </c>
      <c r="C53" t="s">
        <v>137</v>
      </c>
      <c r="D53" t="s">
        <v>138</v>
      </c>
      <c r="E53" t="s">
        <v>14</v>
      </c>
      <c r="F53" s="2">
        <v>33</v>
      </c>
      <c r="G53" t="s">
        <v>20</v>
      </c>
      <c r="H53">
        <v>400</v>
      </c>
      <c r="I53">
        <v>45</v>
      </c>
      <c r="J53">
        <v>18000</v>
      </c>
      <c r="K53" t="s">
        <v>21</v>
      </c>
      <c r="L53" t="s">
        <v>100</v>
      </c>
    </row>
    <row r="54" spans="1:12" x14ac:dyDescent="0.25">
      <c r="A54" s="1">
        <v>10528</v>
      </c>
      <c r="B54" s="2">
        <v>45099</v>
      </c>
      <c r="C54" t="s">
        <v>139</v>
      </c>
      <c r="D54" t="s">
        <v>140</v>
      </c>
      <c r="E54" t="s">
        <v>14</v>
      </c>
      <c r="F54" s="2">
        <v>49</v>
      </c>
      <c r="G54" t="s">
        <v>20</v>
      </c>
      <c r="H54">
        <v>150</v>
      </c>
      <c r="I54">
        <v>45</v>
      </c>
      <c r="J54">
        <v>6750</v>
      </c>
      <c r="K54" t="s">
        <v>21</v>
      </c>
      <c r="L54" t="s">
        <v>100</v>
      </c>
    </row>
    <row r="55" spans="1:12" x14ac:dyDescent="0.25">
      <c r="A55" s="1">
        <v>10496</v>
      </c>
      <c r="B55" s="2">
        <v>45093</v>
      </c>
      <c r="C55" t="s">
        <v>141</v>
      </c>
      <c r="D55" t="s">
        <v>142</v>
      </c>
      <c r="E55" t="s">
        <v>34</v>
      </c>
      <c r="F55" s="2">
        <v>25</v>
      </c>
      <c r="G55" t="s">
        <v>50</v>
      </c>
      <c r="H55">
        <v>150</v>
      </c>
      <c r="I55">
        <v>44</v>
      </c>
      <c r="J55">
        <v>6600</v>
      </c>
      <c r="K55" t="s">
        <v>16</v>
      </c>
      <c r="L55" t="s">
        <v>25</v>
      </c>
    </row>
    <row r="56" spans="1:12" x14ac:dyDescent="0.25">
      <c r="A56" s="1">
        <v>10498</v>
      </c>
      <c r="B56" s="2">
        <v>45093</v>
      </c>
      <c r="C56" t="s">
        <v>143</v>
      </c>
      <c r="D56" t="s">
        <v>144</v>
      </c>
      <c r="E56" t="s">
        <v>34</v>
      </c>
      <c r="F56" s="2">
        <v>36</v>
      </c>
      <c r="G56" t="s">
        <v>50</v>
      </c>
      <c r="H56">
        <v>150</v>
      </c>
      <c r="I56">
        <v>44</v>
      </c>
      <c r="J56">
        <v>6600</v>
      </c>
      <c r="K56" t="s">
        <v>16</v>
      </c>
      <c r="L56" t="s">
        <v>25</v>
      </c>
    </row>
    <row r="57" spans="1:12" x14ac:dyDescent="0.25">
      <c r="A57" s="1">
        <v>10512</v>
      </c>
      <c r="B57" s="2">
        <v>45096</v>
      </c>
      <c r="C57" t="s">
        <v>145</v>
      </c>
      <c r="D57" t="s">
        <v>146</v>
      </c>
      <c r="E57" t="s">
        <v>14</v>
      </c>
      <c r="F57" s="2">
        <v>37</v>
      </c>
      <c r="G57" t="s">
        <v>97</v>
      </c>
      <c r="H57">
        <v>320</v>
      </c>
      <c r="I57">
        <v>43</v>
      </c>
      <c r="J57">
        <v>13760</v>
      </c>
      <c r="K57" t="s">
        <v>16</v>
      </c>
      <c r="L57" t="s">
        <v>105</v>
      </c>
    </row>
    <row r="58" spans="1:12" x14ac:dyDescent="0.25">
      <c r="A58" s="1">
        <v>10513</v>
      </c>
      <c r="B58" s="2">
        <v>45096</v>
      </c>
      <c r="C58" t="s">
        <v>147</v>
      </c>
      <c r="D58" t="s">
        <v>148</v>
      </c>
      <c r="E58" t="s">
        <v>14</v>
      </c>
      <c r="F58" s="2">
        <v>51</v>
      </c>
      <c r="G58" t="s">
        <v>97</v>
      </c>
      <c r="H58">
        <v>250</v>
      </c>
      <c r="I58">
        <v>42</v>
      </c>
      <c r="J58">
        <v>10500</v>
      </c>
      <c r="K58" t="s">
        <v>21</v>
      </c>
      <c r="L58" t="s">
        <v>105</v>
      </c>
    </row>
    <row r="59" spans="1:12" x14ac:dyDescent="0.25">
      <c r="A59" s="1">
        <v>10474</v>
      </c>
      <c r="B59" s="2">
        <v>45088</v>
      </c>
      <c r="C59" t="s">
        <v>149</v>
      </c>
      <c r="D59" t="s">
        <v>150</v>
      </c>
      <c r="E59" t="s">
        <v>34</v>
      </c>
      <c r="F59" s="2">
        <v>21</v>
      </c>
      <c r="G59" t="s">
        <v>50</v>
      </c>
      <c r="H59">
        <v>150</v>
      </c>
      <c r="I59">
        <v>40</v>
      </c>
      <c r="J59">
        <v>6000</v>
      </c>
      <c r="K59" t="s">
        <v>16</v>
      </c>
      <c r="L59" t="s">
        <v>47</v>
      </c>
    </row>
    <row r="60" spans="1:12" x14ac:dyDescent="0.25">
      <c r="A60" s="1">
        <v>10479</v>
      </c>
      <c r="B60" s="2">
        <v>45089</v>
      </c>
      <c r="C60" t="s">
        <v>151</v>
      </c>
      <c r="D60" t="s">
        <v>152</v>
      </c>
      <c r="E60" t="s">
        <v>34</v>
      </c>
      <c r="F60" s="2">
        <v>37</v>
      </c>
      <c r="G60" t="s">
        <v>39</v>
      </c>
      <c r="H60">
        <v>250</v>
      </c>
      <c r="I60">
        <v>40</v>
      </c>
      <c r="J60">
        <v>10000</v>
      </c>
      <c r="K60" t="s">
        <v>16</v>
      </c>
      <c r="L60" t="s">
        <v>47</v>
      </c>
    </row>
    <row r="61" spans="1:12" x14ac:dyDescent="0.25">
      <c r="A61" s="1">
        <v>10488</v>
      </c>
      <c r="B61" s="2">
        <v>45091</v>
      </c>
      <c r="C61" t="s">
        <v>153</v>
      </c>
      <c r="D61" t="s">
        <v>154</v>
      </c>
      <c r="E61" t="s">
        <v>34</v>
      </c>
      <c r="F61" s="2">
        <v>24</v>
      </c>
      <c r="G61" t="s">
        <v>50</v>
      </c>
      <c r="H61">
        <v>150</v>
      </c>
      <c r="I61">
        <v>40</v>
      </c>
      <c r="J61">
        <v>6000</v>
      </c>
      <c r="K61" t="s">
        <v>16</v>
      </c>
      <c r="L61" t="s">
        <v>105</v>
      </c>
    </row>
    <row r="62" spans="1:12" x14ac:dyDescent="0.25">
      <c r="A62" s="1">
        <v>10526</v>
      </c>
      <c r="B62" s="2">
        <v>45099</v>
      </c>
      <c r="C62" t="s">
        <v>155</v>
      </c>
      <c r="D62" t="s">
        <v>156</v>
      </c>
      <c r="E62" t="s">
        <v>14</v>
      </c>
      <c r="F62" s="2">
        <v>24</v>
      </c>
      <c r="G62" t="s">
        <v>20</v>
      </c>
      <c r="H62">
        <v>400</v>
      </c>
      <c r="I62">
        <v>39.799999999999997</v>
      </c>
      <c r="J62">
        <v>15919.999999999998</v>
      </c>
      <c r="K62" t="s">
        <v>21</v>
      </c>
      <c r="L62" t="s">
        <v>100</v>
      </c>
    </row>
    <row r="63" spans="1:12" x14ac:dyDescent="0.25">
      <c r="A63" s="1">
        <v>10548</v>
      </c>
      <c r="B63" s="2">
        <v>45103</v>
      </c>
      <c r="C63" t="s">
        <v>157</v>
      </c>
      <c r="D63" t="s">
        <v>158</v>
      </c>
      <c r="E63" t="s">
        <v>34</v>
      </c>
      <c r="F63" s="2">
        <v>21</v>
      </c>
      <c r="G63" t="s">
        <v>35</v>
      </c>
      <c r="H63">
        <v>150</v>
      </c>
      <c r="I63">
        <v>39.799999999999997</v>
      </c>
      <c r="J63">
        <v>5970</v>
      </c>
      <c r="K63" t="s">
        <v>16</v>
      </c>
      <c r="L63" t="s">
        <v>128</v>
      </c>
    </row>
    <row r="64" spans="1:12" x14ac:dyDescent="0.25">
      <c r="A64" s="1">
        <v>10508</v>
      </c>
      <c r="B64" s="2">
        <v>45095</v>
      </c>
      <c r="C64" t="s">
        <v>159</v>
      </c>
      <c r="D64" t="s">
        <v>160</v>
      </c>
      <c r="E64" t="s">
        <v>14</v>
      </c>
      <c r="F64" s="2">
        <v>39</v>
      </c>
      <c r="G64" t="s">
        <v>15</v>
      </c>
      <c r="H64">
        <v>150</v>
      </c>
      <c r="I64">
        <v>39</v>
      </c>
      <c r="J64">
        <v>5850</v>
      </c>
      <c r="K64" t="s">
        <v>16</v>
      </c>
      <c r="L64" t="s">
        <v>25</v>
      </c>
    </row>
    <row r="65" spans="1:12" x14ac:dyDescent="0.25">
      <c r="A65" s="1">
        <v>10485</v>
      </c>
      <c r="B65" s="2">
        <v>45091</v>
      </c>
      <c r="C65" t="s">
        <v>161</v>
      </c>
      <c r="D65" t="s">
        <v>162</v>
      </c>
      <c r="E65" t="s">
        <v>34</v>
      </c>
      <c r="F65" s="2">
        <v>35</v>
      </c>
      <c r="G65" t="s">
        <v>50</v>
      </c>
      <c r="H65">
        <v>400</v>
      </c>
      <c r="I65">
        <v>38</v>
      </c>
      <c r="J65">
        <v>15200</v>
      </c>
      <c r="K65" t="s">
        <v>16</v>
      </c>
      <c r="L65" t="s">
        <v>51</v>
      </c>
    </row>
    <row r="66" spans="1:12" x14ac:dyDescent="0.25">
      <c r="A66" s="1">
        <v>10505</v>
      </c>
      <c r="B66" s="2">
        <v>45095</v>
      </c>
      <c r="C66" t="s">
        <v>163</v>
      </c>
      <c r="D66" t="s">
        <v>134</v>
      </c>
      <c r="E66" t="s">
        <v>14</v>
      </c>
      <c r="F66" s="2">
        <v>35</v>
      </c>
      <c r="G66" t="s">
        <v>15</v>
      </c>
      <c r="H66">
        <v>250</v>
      </c>
      <c r="I66">
        <v>38</v>
      </c>
      <c r="J66">
        <v>9500</v>
      </c>
      <c r="K66" t="s">
        <v>16</v>
      </c>
      <c r="L66" t="s">
        <v>25</v>
      </c>
    </row>
    <row r="67" spans="1:12" x14ac:dyDescent="0.25">
      <c r="A67" s="1">
        <v>10524</v>
      </c>
      <c r="B67" s="2">
        <v>45098</v>
      </c>
      <c r="C67" t="s">
        <v>164</v>
      </c>
      <c r="D67" t="s">
        <v>165</v>
      </c>
      <c r="E67" t="s">
        <v>14</v>
      </c>
      <c r="F67" s="2">
        <v>46</v>
      </c>
      <c r="G67" t="s">
        <v>39</v>
      </c>
      <c r="H67">
        <v>150</v>
      </c>
      <c r="I67">
        <v>38</v>
      </c>
      <c r="J67">
        <v>5700</v>
      </c>
      <c r="K67" t="s">
        <v>21</v>
      </c>
      <c r="L67" t="s">
        <v>100</v>
      </c>
    </row>
    <row r="68" spans="1:12" x14ac:dyDescent="0.25">
      <c r="A68" s="1">
        <v>10459</v>
      </c>
      <c r="B68" s="2">
        <v>45085</v>
      </c>
      <c r="C68" t="s">
        <v>166</v>
      </c>
      <c r="D68" t="s">
        <v>167</v>
      </c>
      <c r="E68" t="s">
        <v>14</v>
      </c>
      <c r="F68" s="2">
        <v>31</v>
      </c>
      <c r="G68" t="s">
        <v>43</v>
      </c>
      <c r="H68">
        <v>150</v>
      </c>
      <c r="I68">
        <v>37.999999999999993</v>
      </c>
      <c r="J68">
        <v>5699.9999999999991</v>
      </c>
      <c r="K68" t="s">
        <v>16</v>
      </c>
      <c r="L68" t="s">
        <v>81</v>
      </c>
    </row>
    <row r="69" spans="1:12" x14ac:dyDescent="0.25">
      <c r="A69" s="1">
        <v>10494</v>
      </c>
      <c r="B69" s="2">
        <v>45092</v>
      </c>
      <c r="C69" t="s">
        <v>168</v>
      </c>
      <c r="D69" t="s">
        <v>169</v>
      </c>
      <c r="E69" t="s">
        <v>34</v>
      </c>
      <c r="F69" s="2">
        <v>23</v>
      </c>
      <c r="G69" t="s">
        <v>50</v>
      </c>
      <c r="H69">
        <v>320</v>
      </c>
      <c r="I69">
        <v>37.999999999999993</v>
      </c>
      <c r="J69">
        <v>12159.999999999998</v>
      </c>
      <c r="K69" t="s">
        <v>16</v>
      </c>
      <c r="L69" t="s">
        <v>25</v>
      </c>
    </row>
    <row r="70" spans="1:12" x14ac:dyDescent="0.25">
      <c r="A70" s="1">
        <v>10504</v>
      </c>
      <c r="B70" s="2">
        <v>45094</v>
      </c>
      <c r="C70" t="s">
        <v>170</v>
      </c>
      <c r="D70" t="s">
        <v>171</v>
      </c>
      <c r="E70" t="s">
        <v>34</v>
      </c>
      <c r="F70" s="2">
        <v>23</v>
      </c>
      <c r="G70" t="s">
        <v>15</v>
      </c>
      <c r="H70">
        <v>320</v>
      </c>
      <c r="I70">
        <v>37.999999999999993</v>
      </c>
      <c r="J70">
        <v>12159.999999999998</v>
      </c>
      <c r="K70" t="s">
        <v>16</v>
      </c>
      <c r="L70" t="s">
        <v>25</v>
      </c>
    </row>
    <row r="71" spans="1:12" x14ac:dyDescent="0.25">
      <c r="A71" s="1">
        <v>10514</v>
      </c>
      <c r="B71" s="2">
        <v>45096</v>
      </c>
      <c r="C71" t="s">
        <v>172</v>
      </c>
      <c r="D71" t="s">
        <v>173</v>
      </c>
      <c r="E71" t="s">
        <v>14</v>
      </c>
      <c r="F71" s="2">
        <v>21</v>
      </c>
      <c r="G71" t="s">
        <v>97</v>
      </c>
      <c r="H71">
        <v>150</v>
      </c>
      <c r="I71">
        <v>37.999999999999993</v>
      </c>
      <c r="J71">
        <v>5699.9999999999991</v>
      </c>
      <c r="K71" t="s">
        <v>21</v>
      </c>
      <c r="L71" t="s">
        <v>105</v>
      </c>
    </row>
    <row r="72" spans="1:12" x14ac:dyDescent="0.25">
      <c r="A72" s="1">
        <v>10539</v>
      </c>
      <c r="B72" s="2">
        <v>45101</v>
      </c>
      <c r="C72" t="s">
        <v>174</v>
      </c>
      <c r="D72" t="s">
        <v>175</v>
      </c>
      <c r="E72" t="s">
        <v>14</v>
      </c>
      <c r="F72" s="2">
        <v>55</v>
      </c>
      <c r="G72" t="s">
        <v>35</v>
      </c>
      <c r="H72">
        <v>320</v>
      </c>
      <c r="I72">
        <v>37.999999999999993</v>
      </c>
      <c r="J72">
        <v>12159.999999999998</v>
      </c>
      <c r="K72" t="s">
        <v>16</v>
      </c>
      <c r="L72" t="s">
        <v>25</v>
      </c>
    </row>
    <row r="73" spans="1:12" x14ac:dyDescent="0.25">
      <c r="A73" s="1">
        <v>10544</v>
      </c>
      <c r="B73" s="2">
        <v>45102</v>
      </c>
      <c r="C73" t="s">
        <v>176</v>
      </c>
      <c r="D73" t="s">
        <v>177</v>
      </c>
      <c r="E73" t="s">
        <v>14</v>
      </c>
      <c r="F73" s="2">
        <v>43</v>
      </c>
      <c r="G73" t="s">
        <v>20</v>
      </c>
      <c r="H73">
        <v>150</v>
      </c>
      <c r="I73">
        <v>37.999999999999993</v>
      </c>
      <c r="J73">
        <v>5699.9999999999991</v>
      </c>
      <c r="K73" t="s">
        <v>16</v>
      </c>
      <c r="L73" t="s">
        <v>128</v>
      </c>
    </row>
    <row r="74" spans="1:12" x14ac:dyDescent="0.25">
      <c r="A74" s="1">
        <v>10549</v>
      </c>
      <c r="B74" s="2">
        <v>45103</v>
      </c>
      <c r="C74" t="s">
        <v>178</v>
      </c>
      <c r="D74" t="s">
        <v>179</v>
      </c>
      <c r="E74" t="s">
        <v>34</v>
      </c>
      <c r="F74" s="2">
        <v>52</v>
      </c>
      <c r="G74" t="s">
        <v>50</v>
      </c>
      <c r="H74">
        <v>400</v>
      </c>
      <c r="I74">
        <v>37.999999999999993</v>
      </c>
      <c r="J74">
        <v>15199.999999999996</v>
      </c>
      <c r="K74" t="s">
        <v>16</v>
      </c>
      <c r="L74" t="s">
        <v>128</v>
      </c>
    </row>
    <row r="75" spans="1:12" x14ac:dyDescent="0.25">
      <c r="A75" s="1">
        <v>10472</v>
      </c>
      <c r="B75" s="2">
        <v>45088</v>
      </c>
      <c r="C75" t="s">
        <v>180</v>
      </c>
      <c r="D75" t="s">
        <v>181</v>
      </c>
      <c r="E75" t="s">
        <v>34</v>
      </c>
      <c r="F75" s="2">
        <v>38</v>
      </c>
      <c r="G75" t="s">
        <v>50</v>
      </c>
      <c r="H75">
        <v>320</v>
      </c>
      <c r="I75">
        <v>35</v>
      </c>
      <c r="J75">
        <v>11200</v>
      </c>
      <c r="K75" t="s">
        <v>16</v>
      </c>
      <c r="L75" t="s">
        <v>25</v>
      </c>
    </row>
    <row r="76" spans="1:12" x14ac:dyDescent="0.25">
      <c r="A76" s="1">
        <v>10499</v>
      </c>
      <c r="B76" s="2">
        <v>45093</v>
      </c>
      <c r="C76" t="s">
        <v>182</v>
      </c>
      <c r="D76" t="s">
        <v>74</v>
      </c>
      <c r="E76" t="s">
        <v>34</v>
      </c>
      <c r="F76" s="2">
        <v>39</v>
      </c>
      <c r="G76" t="s">
        <v>50</v>
      </c>
      <c r="H76">
        <v>150</v>
      </c>
      <c r="I76">
        <v>33</v>
      </c>
      <c r="J76">
        <v>4950</v>
      </c>
      <c r="K76" t="s">
        <v>16</v>
      </c>
      <c r="L76" t="s">
        <v>25</v>
      </c>
    </row>
    <row r="77" spans="1:12" x14ac:dyDescent="0.25">
      <c r="A77" s="1">
        <v>10455</v>
      </c>
      <c r="B77" s="2">
        <v>45085</v>
      </c>
      <c r="C77" t="s">
        <v>183</v>
      </c>
      <c r="D77" t="s">
        <v>184</v>
      </c>
      <c r="E77" t="s">
        <v>14</v>
      </c>
      <c r="F77" s="2">
        <v>31</v>
      </c>
      <c r="G77" t="s">
        <v>35</v>
      </c>
      <c r="H77">
        <v>400</v>
      </c>
      <c r="I77">
        <v>28</v>
      </c>
      <c r="J77">
        <v>11200</v>
      </c>
      <c r="K77" t="s">
        <v>16</v>
      </c>
      <c r="L77" t="s">
        <v>185</v>
      </c>
    </row>
    <row r="78" spans="1:12" x14ac:dyDescent="0.25">
      <c r="A78" s="1">
        <v>10522</v>
      </c>
      <c r="B78" s="2">
        <v>45098</v>
      </c>
      <c r="C78" t="s">
        <v>186</v>
      </c>
      <c r="D78" t="s">
        <v>187</v>
      </c>
      <c r="E78" t="s">
        <v>14</v>
      </c>
      <c r="F78" s="2">
        <v>26</v>
      </c>
      <c r="G78" t="s">
        <v>39</v>
      </c>
      <c r="H78">
        <v>320</v>
      </c>
      <c r="I78">
        <v>27</v>
      </c>
      <c r="J78">
        <v>8640</v>
      </c>
      <c r="K78" t="s">
        <v>21</v>
      </c>
      <c r="L78" t="s">
        <v>100</v>
      </c>
    </row>
    <row r="79" spans="1:12" x14ac:dyDescent="0.25">
      <c r="A79" s="1">
        <v>10452</v>
      </c>
      <c r="B79" s="2">
        <v>45084</v>
      </c>
      <c r="C79" t="s">
        <v>188</v>
      </c>
      <c r="D79" t="s">
        <v>189</v>
      </c>
      <c r="E79" t="s">
        <v>34</v>
      </c>
      <c r="F79" s="2">
        <v>23</v>
      </c>
      <c r="G79" t="s">
        <v>35</v>
      </c>
      <c r="H79">
        <v>150</v>
      </c>
      <c r="I79">
        <v>25</v>
      </c>
      <c r="J79">
        <v>3750</v>
      </c>
      <c r="K79" t="s">
        <v>44</v>
      </c>
      <c r="L79" t="s">
        <v>190</v>
      </c>
    </row>
    <row r="80" spans="1:12" x14ac:dyDescent="0.25">
      <c r="A80" s="1">
        <v>10457</v>
      </c>
      <c r="B80" s="2">
        <v>45085</v>
      </c>
      <c r="C80" t="s">
        <v>191</v>
      </c>
      <c r="D80" t="s">
        <v>192</v>
      </c>
      <c r="E80" t="s">
        <v>34</v>
      </c>
      <c r="F80" s="2">
        <v>36</v>
      </c>
      <c r="G80" t="s">
        <v>50</v>
      </c>
      <c r="H80">
        <v>250</v>
      </c>
      <c r="I80">
        <v>25</v>
      </c>
      <c r="J80">
        <v>6250</v>
      </c>
      <c r="K80" t="s">
        <v>16</v>
      </c>
      <c r="L80" t="s">
        <v>66</v>
      </c>
    </row>
    <row r="81" spans="1:12" x14ac:dyDescent="0.25">
      <c r="A81" s="1">
        <v>10460</v>
      </c>
      <c r="B81" s="2">
        <v>45086</v>
      </c>
      <c r="C81" t="s">
        <v>193</v>
      </c>
      <c r="D81" t="s">
        <v>194</v>
      </c>
      <c r="E81" t="s">
        <v>14</v>
      </c>
      <c r="F81" s="2">
        <v>20</v>
      </c>
      <c r="G81" t="s">
        <v>39</v>
      </c>
      <c r="H81">
        <v>320</v>
      </c>
      <c r="I81">
        <v>25</v>
      </c>
      <c r="J81">
        <v>8000</v>
      </c>
      <c r="K81" t="s">
        <v>16</v>
      </c>
      <c r="L81" t="s">
        <v>66</v>
      </c>
    </row>
    <row r="82" spans="1:12" x14ac:dyDescent="0.25">
      <c r="A82" s="1">
        <v>10462</v>
      </c>
      <c r="B82" s="2">
        <v>45086</v>
      </c>
      <c r="C82" t="s">
        <v>48</v>
      </c>
      <c r="D82" t="s">
        <v>90</v>
      </c>
      <c r="E82" t="s">
        <v>34</v>
      </c>
      <c r="F82" s="2">
        <v>28</v>
      </c>
      <c r="G82" t="s">
        <v>43</v>
      </c>
      <c r="H82">
        <v>400</v>
      </c>
      <c r="I82">
        <v>25</v>
      </c>
      <c r="J82">
        <v>10000</v>
      </c>
      <c r="K82" t="s">
        <v>16</v>
      </c>
      <c r="L82" t="s">
        <v>66</v>
      </c>
    </row>
    <row r="83" spans="1:12" x14ac:dyDescent="0.25">
      <c r="A83" s="1">
        <v>10464</v>
      </c>
      <c r="B83" s="2">
        <v>45086</v>
      </c>
      <c r="C83" t="s">
        <v>195</v>
      </c>
      <c r="D83" t="s">
        <v>196</v>
      </c>
      <c r="E83" t="s">
        <v>34</v>
      </c>
      <c r="F83" s="2">
        <v>32</v>
      </c>
      <c r="G83" t="s">
        <v>43</v>
      </c>
      <c r="H83">
        <v>320</v>
      </c>
      <c r="I83">
        <v>25</v>
      </c>
      <c r="J83">
        <v>8000</v>
      </c>
      <c r="K83" t="s">
        <v>16</v>
      </c>
      <c r="L83" t="s">
        <v>100</v>
      </c>
    </row>
    <row r="84" spans="1:12" x14ac:dyDescent="0.25">
      <c r="A84" s="1">
        <v>10454</v>
      </c>
      <c r="B84" s="2">
        <v>45084</v>
      </c>
      <c r="C84" t="s">
        <v>197</v>
      </c>
      <c r="D84" t="s">
        <v>198</v>
      </c>
      <c r="E84" t="s">
        <v>14</v>
      </c>
      <c r="F84" s="2">
        <v>30</v>
      </c>
      <c r="G84" t="s">
        <v>35</v>
      </c>
      <c r="H84">
        <v>250</v>
      </c>
      <c r="I84">
        <v>25</v>
      </c>
      <c r="J84">
        <v>6250</v>
      </c>
      <c r="K84" t="s">
        <v>44</v>
      </c>
      <c r="L84" t="s">
        <v>105</v>
      </c>
    </row>
    <row r="85" spans="1:12" x14ac:dyDescent="0.25">
      <c r="A85" s="1">
        <v>10471</v>
      </c>
      <c r="B85" s="2">
        <v>45088</v>
      </c>
      <c r="C85" t="s">
        <v>199</v>
      </c>
      <c r="D85" t="s">
        <v>200</v>
      </c>
      <c r="E85" t="s">
        <v>14</v>
      </c>
      <c r="F85" s="2">
        <v>23</v>
      </c>
      <c r="G85" t="s">
        <v>15</v>
      </c>
      <c r="H85">
        <v>150</v>
      </c>
      <c r="I85">
        <v>25</v>
      </c>
      <c r="J85">
        <v>3750</v>
      </c>
      <c r="K85" t="s">
        <v>16</v>
      </c>
      <c r="L85" t="s">
        <v>47</v>
      </c>
    </row>
    <row r="86" spans="1:12" x14ac:dyDescent="0.25">
      <c r="A86" s="1">
        <v>10482</v>
      </c>
      <c r="B86" s="2">
        <v>45090</v>
      </c>
      <c r="C86" t="s">
        <v>201</v>
      </c>
      <c r="D86" t="s">
        <v>202</v>
      </c>
      <c r="E86" t="s">
        <v>34</v>
      </c>
      <c r="F86" s="2">
        <v>24</v>
      </c>
      <c r="G86" t="s">
        <v>39</v>
      </c>
      <c r="H86">
        <v>250</v>
      </c>
      <c r="I86">
        <v>25</v>
      </c>
      <c r="J86">
        <v>6250</v>
      </c>
      <c r="K86" t="s">
        <v>16</v>
      </c>
      <c r="L86" t="s">
        <v>105</v>
      </c>
    </row>
    <row r="87" spans="1:12" x14ac:dyDescent="0.25">
      <c r="A87" s="1">
        <v>10483</v>
      </c>
      <c r="B87" s="2">
        <v>45090</v>
      </c>
      <c r="C87" t="s">
        <v>203</v>
      </c>
      <c r="D87" t="s">
        <v>204</v>
      </c>
      <c r="E87" t="s">
        <v>34</v>
      </c>
      <c r="F87" s="2">
        <v>20</v>
      </c>
      <c r="G87" t="s">
        <v>43</v>
      </c>
      <c r="H87">
        <v>320</v>
      </c>
      <c r="I87">
        <v>25</v>
      </c>
      <c r="J87">
        <v>8000</v>
      </c>
      <c r="K87" t="s">
        <v>16</v>
      </c>
      <c r="L87" t="s">
        <v>51</v>
      </c>
    </row>
    <row r="88" spans="1:12" x14ac:dyDescent="0.25">
      <c r="A88" s="1">
        <v>10492</v>
      </c>
      <c r="B88" s="2">
        <v>45092</v>
      </c>
      <c r="C88" t="s">
        <v>205</v>
      </c>
      <c r="D88" t="s">
        <v>206</v>
      </c>
      <c r="E88" t="s">
        <v>34</v>
      </c>
      <c r="F88" s="2">
        <v>38</v>
      </c>
      <c r="G88" t="s">
        <v>207</v>
      </c>
      <c r="H88">
        <v>150</v>
      </c>
      <c r="I88">
        <v>25</v>
      </c>
      <c r="J88">
        <v>3750</v>
      </c>
      <c r="K88" t="s">
        <v>16</v>
      </c>
      <c r="L88" t="s">
        <v>25</v>
      </c>
    </row>
    <row r="89" spans="1:12" x14ac:dyDescent="0.25">
      <c r="A89" s="1">
        <v>10493</v>
      </c>
      <c r="B89" s="2">
        <v>45092</v>
      </c>
      <c r="C89" t="s">
        <v>208</v>
      </c>
      <c r="D89" t="s">
        <v>209</v>
      </c>
      <c r="E89" t="s">
        <v>34</v>
      </c>
      <c r="F89" s="2">
        <v>36</v>
      </c>
      <c r="G89" t="s">
        <v>50</v>
      </c>
      <c r="H89">
        <v>150</v>
      </c>
      <c r="I89">
        <v>25</v>
      </c>
      <c r="J89">
        <v>3750</v>
      </c>
      <c r="K89" t="s">
        <v>16</v>
      </c>
      <c r="L89" t="s">
        <v>25</v>
      </c>
    </row>
    <row r="90" spans="1:12" x14ac:dyDescent="0.25">
      <c r="A90" s="1">
        <v>10497</v>
      </c>
      <c r="B90" s="2">
        <v>45093</v>
      </c>
      <c r="C90" t="s">
        <v>210</v>
      </c>
      <c r="D90" t="s">
        <v>211</v>
      </c>
      <c r="E90" t="s">
        <v>34</v>
      </c>
      <c r="F90" s="2">
        <v>31</v>
      </c>
      <c r="G90" t="s">
        <v>50</v>
      </c>
      <c r="H90">
        <v>320</v>
      </c>
      <c r="I90">
        <v>25</v>
      </c>
      <c r="J90">
        <v>8000</v>
      </c>
      <c r="K90" t="s">
        <v>16</v>
      </c>
      <c r="L90" t="s">
        <v>25</v>
      </c>
    </row>
    <row r="91" spans="1:12" x14ac:dyDescent="0.25">
      <c r="A91" s="1">
        <v>10503</v>
      </c>
      <c r="B91" s="2">
        <v>45094</v>
      </c>
      <c r="C91" t="s">
        <v>212</v>
      </c>
      <c r="D91" t="s">
        <v>38</v>
      </c>
      <c r="E91" t="s">
        <v>34</v>
      </c>
      <c r="F91" s="2">
        <v>33</v>
      </c>
      <c r="G91" t="s">
        <v>15</v>
      </c>
      <c r="H91">
        <v>320</v>
      </c>
      <c r="I91">
        <v>25</v>
      </c>
      <c r="J91">
        <v>8000</v>
      </c>
      <c r="K91" t="s">
        <v>16</v>
      </c>
      <c r="L91" t="s">
        <v>25</v>
      </c>
    </row>
    <row r="92" spans="1:12" x14ac:dyDescent="0.25">
      <c r="A92" s="1">
        <v>10511</v>
      </c>
      <c r="B92" s="2">
        <v>45096</v>
      </c>
      <c r="C92" t="s">
        <v>213</v>
      </c>
      <c r="D92" t="s">
        <v>214</v>
      </c>
      <c r="E92" t="s">
        <v>14</v>
      </c>
      <c r="F92" s="2">
        <v>22</v>
      </c>
      <c r="G92" t="s">
        <v>97</v>
      </c>
      <c r="H92">
        <v>150</v>
      </c>
      <c r="I92">
        <v>25</v>
      </c>
      <c r="J92">
        <v>3750</v>
      </c>
      <c r="K92" t="s">
        <v>16</v>
      </c>
      <c r="L92" t="s">
        <v>105</v>
      </c>
    </row>
    <row r="93" spans="1:12" x14ac:dyDescent="0.25">
      <c r="A93" s="1">
        <v>10521</v>
      </c>
      <c r="B93" s="2">
        <v>45098</v>
      </c>
      <c r="C93" t="s">
        <v>215</v>
      </c>
      <c r="D93" t="s">
        <v>150</v>
      </c>
      <c r="E93" t="s">
        <v>14</v>
      </c>
      <c r="F93" s="2">
        <v>26</v>
      </c>
      <c r="G93" t="s">
        <v>39</v>
      </c>
      <c r="H93">
        <v>400</v>
      </c>
      <c r="I93">
        <v>25</v>
      </c>
      <c r="J93">
        <v>10000</v>
      </c>
      <c r="K93" t="s">
        <v>21</v>
      </c>
      <c r="L93" t="s">
        <v>100</v>
      </c>
    </row>
    <row r="94" spans="1:12" x14ac:dyDescent="0.25">
      <c r="A94" s="1">
        <v>10530</v>
      </c>
      <c r="B94" s="2">
        <v>45100</v>
      </c>
      <c r="C94" t="s">
        <v>216</v>
      </c>
      <c r="D94" t="s">
        <v>217</v>
      </c>
      <c r="E94" t="s">
        <v>14</v>
      </c>
      <c r="F94" s="2">
        <v>26</v>
      </c>
      <c r="G94" t="s">
        <v>20</v>
      </c>
      <c r="H94">
        <v>320</v>
      </c>
      <c r="I94">
        <v>23.56</v>
      </c>
      <c r="J94">
        <v>7539.2</v>
      </c>
      <c r="K94" t="s">
        <v>21</v>
      </c>
      <c r="L94" t="s">
        <v>100</v>
      </c>
    </row>
    <row r="95" spans="1:12" x14ac:dyDescent="0.25">
      <c r="A95" s="1">
        <v>10540</v>
      </c>
      <c r="B95" s="2">
        <v>45102</v>
      </c>
      <c r="C95" t="s">
        <v>218</v>
      </c>
      <c r="D95" t="s">
        <v>219</v>
      </c>
      <c r="E95" t="s">
        <v>14</v>
      </c>
      <c r="F95" s="2">
        <v>62</v>
      </c>
      <c r="G95" t="s">
        <v>20</v>
      </c>
      <c r="H95">
        <v>250</v>
      </c>
      <c r="I95">
        <v>23.56</v>
      </c>
      <c r="J95">
        <v>5890</v>
      </c>
      <c r="K95" t="s">
        <v>16</v>
      </c>
      <c r="L95" t="s">
        <v>25</v>
      </c>
    </row>
    <row r="96" spans="1:12" x14ac:dyDescent="0.25">
      <c r="A96" s="1">
        <v>10520</v>
      </c>
      <c r="B96" s="2">
        <v>45098</v>
      </c>
      <c r="C96" t="s">
        <v>220</v>
      </c>
      <c r="D96" t="s">
        <v>221</v>
      </c>
      <c r="E96" t="s">
        <v>14</v>
      </c>
      <c r="F96" s="2">
        <v>26</v>
      </c>
      <c r="G96" t="s">
        <v>39</v>
      </c>
      <c r="H96">
        <v>400</v>
      </c>
      <c r="I96">
        <v>23</v>
      </c>
      <c r="J96">
        <v>9200</v>
      </c>
      <c r="K96" t="s">
        <v>21</v>
      </c>
      <c r="L96" t="s">
        <v>100</v>
      </c>
    </row>
    <row r="97" spans="1:12" x14ac:dyDescent="0.25">
      <c r="A97" s="1">
        <v>10545</v>
      </c>
      <c r="B97" s="2">
        <v>45103</v>
      </c>
      <c r="C97" t="s">
        <v>222</v>
      </c>
      <c r="D97" t="s">
        <v>223</v>
      </c>
      <c r="E97" t="s">
        <v>14</v>
      </c>
      <c r="F97" s="2">
        <v>20</v>
      </c>
      <c r="G97" t="s">
        <v>39</v>
      </c>
      <c r="H97">
        <v>400</v>
      </c>
      <c r="I97">
        <v>22.04</v>
      </c>
      <c r="J97">
        <v>8816</v>
      </c>
      <c r="K97" t="s">
        <v>16</v>
      </c>
      <c r="L97" t="s">
        <v>128</v>
      </c>
    </row>
    <row r="98" spans="1:12" x14ac:dyDescent="0.25">
      <c r="A98" s="1">
        <v>10489</v>
      </c>
      <c r="B98" s="2">
        <v>45091</v>
      </c>
      <c r="C98" t="s">
        <v>224</v>
      </c>
      <c r="D98" t="s">
        <v>225</v>
      </c>
      <c r="E98" t="s">
        <v>34</v>
      </c>
      <c r="F98" s="2">
        <v>36</v>
      </c>
      <c r="G98" t="s">
        <v>43</v>
      </c>
      <c r="H98">
        <v>320</v>
      </c>
      <c r="I98">
        <v>20</v>
      </c>
      <c r="J98">
        <v>6400</v>
      </c>
      <c r="K98" t="s">
        <v>16</v>
      </c>
      <c r="L98" t="s">
        <v>25</v>
      </c>
    </row>
    <row r="99" spans="1:12" x14ac:dyDescent="0.25">
      <c r="A99" s="1">
        <v>10454</v>
      </c>
      <c r="B99" s="2">
        <v>45084</v>
      </c>
      <c r="C99" t="s">
        <v>197</v>
      </c>
      <c r="D99" t="s">
        <v>198</v>
      </c>
      <c r="E99" t="s">
        <v>14</v>
      </c>
      <c r="F99" s="2">
        <v>30</v>
      </c>
      <c r="G99" t="s">
        <v>35</v>
      </c>
      <c r="H99">
        <v>150</v>
      </c>
      <c r="I99">
        <v>15</v>
      </c>
      <c r="J99">
        <v>2250</v>
      </c>
      <c r="K99" t="s">
        <v>44</v>
      </c>
      <c r="L99" t="s">
        <v>51</v>
      </c>
    </row>
    <row r="100" spans="1:12" x14ac:dyDescent="0.25">
      <c r="A100" s="1">
        <v>10454</v>
      </c>
      <c r="B100" s="2">
        <v>45084</v>
      </c>
      <c r="C100" t="s">
        <v>197</v>
      </c>
      <c r="D100" t="s">
        <v>198</v>
      </c>
      <c r="E100" t="s">
        <v>14</v>
      </c>
      <c r="F100" s="2">
        <v>30</v>
      </c>
      <c r="G100" t="s">
        <v>35</v>
      </c>
      <c r="H100">
        <v>250</v>
      </c>
      <c r="I100">
        <v>10</v>
      </c>
      <c r="J100">
        <v>2500</v>
      </c>
      <c r="K100" t="s">
        <v>44</v>
      </c>
      <c r="L100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9"/>
  <sheetViews>
    <sheetView topLeftCell="B1" workbookViewId="0">
      <selection activeCell="M13" sqref="M13"/>
    </sheetView>
  </sheetViews>
  <sheetFormatPr baseColWidth="10" defaultColWidth="8.7265625" defaultRowHeight="15" x14ac:dyDescent="0.25"/>
  <cols>
    <col min="3" max="3" width="16" style="9" customWidth="1"/>
    <col min="4" max="4" width="20.36328125" bestFit="1" customWidth="1"/>
    <col min="5" max="5" width="12" customWidth="1"/>
    <col min="7" max="7" width="14" customWidth="1"/>
    <col min="11" max="11" width="13.6328125" customWidth="1"/>
    <col min="12" max="12" width="14.81640625" customWidth="1"/>
  </cols>
  <sheetData>
    <row r="1" spans="2:12" s="21" customFormat="1" ht="30" x14ac:dyDescent="0.25">
      <c r="B1" s="17" t="s">
        <v>0</v>
      </c>
      <c r="C1" s="18" t="s">
        <v>1</v>
      </c>
      <c r="D1" s="17" t="s">
        <v>338</v>
      </c>
      <c r="E1" s="17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20" t="s">
        <v>10</v>
      </c>
      <c r="L1" s="17" t="s">
        <v>342</v>
      </c>
    </row>
    <row r="2" spans="2:12" x14ac:dyDescent="0.25">
      <c r="B2" s="1">
        <v>10507</v>
      </c>
      <c r="C2" s="6">
        <v>45095</v>
      </c>
      <c r="D2" t="s">
        <v>228</v>
      </c>
      <c r="E2" t="s">
        <v>14</v>
      </c>
      <c r="F2" s="2">
        <v>55</v>
      </c>
      <c r="G2" t="s">
        <v>322</v>
      </c>
      <c r="H2">
        <v>400</v>
      </c>
      <c r="I2">
        <v>91</v>
      </c>
      <c r="J2">
        <v>36400</v>
      </c>
      <c r="K2" t="s">
        <v>16</v>
      </c>
      <c r="L2" t="s">
        <v>25</v>
      </c>
    </row>
    <row r="3" spans="2:12" x14ac:dyDescent="0.25">
      <c r="B3" s="1">
        <v>10534</v>
      </c>
      <c r="C3" s="6">
        <v>45100</v>
      </c>
      <c r="D3" t="s">
        <v>229</v>
      </c>
      <c r="E3" t="s">
        <v>14</v>
      </c>
      <c r="F3" s="2">
        <v>60</v>
      </c>
      <c r="G3" t="s">
        <v>323</v>
      </c>
      <c r="H3">
        <v>400</v>
      </c>
      <c r="I3">
        <v>84</v>
      </c>
      <c r="J3">
        <v>33440</v>
      </c>
      <c r="K3" t="s">
        <v>21</v>
      </c>
      <c r="L3" t="s">
        <v>25</v>
      </c>
    </row>
    <row r="4" spans="2:12" x14ac:dyDescent="0.25">
      <c r="B4" s="1">
        <v>10537</v>
      </c>
      <c r="C4" s="6">
        <v>45101</v>
      </c>
      <c r="D4" t="s">
        <v>230</v>
      </c>
      <c r="E4" t="s">
        <v>14</v>
      </c>
      <c r="F4" s="2">
        <v>58</v>
      </c>
      <c r="G4" t="s">
        <v>322</v>
      </c>
      <c r="H4">
        <v>320</v>
      </c>
      <c r="I4">
        <v>84</v>
      </c>
      <c r="J4">
        <v>26752</v>
      </c>
      <c r="K4" t="s">
        <v>16</v>
      </c>
      <c r="L4" t="s">
        <v>25</v>
      </c>
    </row>
    <row r="5" spans="2:12" x14ac:dyDescent="0.25">
      <c r="B5" s="1">
        <v>10538</v>
      </c>
      <c r="C5" s="6">
        <v>45101</v>
      </c>
      <c r="D5" t="s">
        <v>231</v>
      </c>
      <c r="E5" t="s">
        <v>14</v>
      </c>
      <c r="F5" s="2">
        <v>49</v>
      </c>
      <c r="G5" t="s">
        <v>322</v>
      </c>
      <c r="H5">
        <v>320</v>
      </c>
      <c r="I5">
        <v>84</v>
      </c>
      <c r="J5">
        <v>26752</v>
      </c>
      <c r="K5" t="s">
        <v>16</v>
      </c>
      <c r="L5" t="s">
        <v>25</v>
      </c>
    </row>
    <row r="6" spans="2:12" x14ac:dyDescent="0.25">
      <c r="B6" s="1">
        <v>10542</v>
      </c>
      <c r="C6" s="6">
        <v>45102</v>
      </c>
      <c r="D6" t="s">
        <v>232</v>
      </c>
      <c r="E6" t="s">
        <v>14</v>
      </c>
      <c r="F6" s="2">
        <v>42</v>
      </c>
      <c r="G6" t="s">
        <v>323</v>
      </c>
      <c r="H6">
        <v>400</v>
      </c>
      <c r="I6">
        <v>84</v>
      </c>
      <c r="J6">
        <v>33440</v>
      </c>
      <c r="K6" t="s">
        <v>16</v>
      </c>
      <c r="L6" t="s">
        <v>128</v>
      </c>
    </row>
    <row r="7" spans="2:12" x14ac:dyDescent="0.25">
      <c r="B7" s="1">
        <v>10547</v>
      </c>
      <c r="C7" s="6">
        <v>45103</v>
      </c>
      <c r="D7" t="s">
        <v>233</v>
      </c>
      <c r="E7" t="s">
        <v>34</v>
      </c>
      <c r="F7" s="2">
        <v>51</v>
      </c>
      <c r="G7" t="s">
        <v>343</v>
      </c>
      <c r="I7">
        <v>84</v>
      </c>
      <c r="J7">
        <v>20900</v>
      </c>
      <c r="K7" t="s">
        <v>16</v>
      </c>
      <c r="L7" t="s">
        <v>128</v>
      </c>
    </row>
    <row r="8" spans="2:12" x14ac:dyDescent="0.25">
      <c r="B8" s="1">
        <v>10485</v>
      </c>
      <c r="C8" s="6">
        <v>45091</v>
      </c>
      <c r="D8" t="s">
        <v>234</v>
      </c>
      <c r="E8" t="s">
        <v>14</v>
      </c>
      <c r="F8" s="2">
        <v>51</v>
      </c>
      <c r="G8" t="s">
        <v>328</v>
      </c>
      <c r="I8">
        <v>82</v>
      </c>
      <c r="J8">
        <v>26240</v>
      </c>
      <c r="K8" t="s">
        <v>16</v>
      </c>
      <c r="L8" t="s">
        <v>105</v>
      </c>
    </row>
    <row r="9" spans="2:12" x14ac:dyDescent="0.25">
      <c r="B9" s="1">
        <v>10453</v>
      </c>
      <c r="C9" s="6">
        <v>45084</v>
      </c>
      <c r="D9" t="s">
        <v>235</v>
      </c>
      <c r="E9" t="s">
        <v>34</v>
      </c>
      <c r="F9" s="2">
        <v>50</v>
      </c>
      <c r="G9" t="s">
        <v>325</v>
      </c>
      <c r="I9">
        <v>80</v>
      </c>
      <c r="J9">
        <v>20000</v>
      </c>
      <c r="K9" t="s">
        <v>44</v>
      </c>
      <c r="L9" t="s">
        <v>25</v>
      </c>
    </row>
    <row r="10" spans="2:12" x14ac:dyDescent="0.25">
      <c r="B10" s="1">
        <v>10477</v>
      </c>
      <c r="C10" s="6">
        <v>45089</v>
      </c>
      <c r="D10" t="s">
        <v>236</v>
      </c>
      <c r="E10" t="s">
        <v>34</v>
      </c>
      <c r="F10" s="2">
        <v>59</v>
      </c>
      <c r="G10" t="s">
        <v>322</v>
      </c>
      <c r="I10">
        <v>80</v>
      </c>
      <c r="J10">
        <v>12000</v>
      </c>
      <c r="K10" t="s">
        <v>16</v>
      </c>
      <c r="L10" t="s">
        <v>25</v>
      </c>
    </row>
    <row r="11" spans="2:12" x14ac:dyDescent="0.25">
      <c r="B11" s="1">
        <v>10486</v>
      </c>
      <c r="C11" s="6">
        <v>45091</v>
      </c>
      <c r="D11" t="s">
        <v>237</v>
      </c>
      <c r="E11" t="s">
        <v>34</v>
      </c>
      <c r="F11" s="2">
        <v>48</v>
      </c>
      <c r="G11" t="s">
        <v>344</v>
      </c>
      <c r="I11">
        <v>80</v>
      </c>
      <c r="J11">
        <v>12000</v>
      </c>
      <c r="K11" t="s">
        <v>16</v>
      </c>
      <c r="L11" t="s">
        <v>105</v>
      </c>
    </row>
    <row r="12" spans="2:12" x14ac:dyDescent="0.25">
      <c r="B12" s="1">
        <v>10490</v>
      </c>
      <c r="C12" s="6">
        <v>45092</v>
      </c>
      <c r="D12" t="s">
        <v>238</v>
      </c>
      <c r="E12" t="s">
        <v>34</v>
      </c>
      <c r="F12" s="2">
        <v>45</v>
      </c>
      <c r="G12" t="s">
        <v>328</v>
      </c>
      <c r="I12">
        <v>80</v>
      </c>
      <c r="J12">
        <v>12000</v>
      </c>
      <c r="K12" t="s">
        <v>16</v>
      </c>
      <c r="L12" t="s">
        <v>25</v>
      </c>
    </row>
    <row r="13" spans="2:12" x14ac:dyDescent="0.25">
      <c r="B13" s="1">
        <v>10502</v>
      </c>
      <c r="C13" s="6">
        <v>45094</v>
      </c>
      <c r="D13" t="s">
        <v>239</v>
      </c>
      <c r="E13" t="s">
        <v>34</v>
      </c>
      <c r="F13" s="2">
        <v>56</v>
      </c>
      <c r="G13" t="s">
        <v>325</v>
      </c>
      <c r="I13">
        <v>80</v>
      </c>
      <c r="J13">
        <v>25600</v>
      </c>
      <c r="K13" t="s">
        <v>16</v>
      </c>
      <c r="L13" t="s">
        <v>25</v>
      </c>
    </row>
    <row r="14" spans="2:12" x14ac:dyDescent="0.25">
      <c r="B14" s="1">
        <v>10523</v>
      </c>
      <c r="C14" s="6">
        <v>45098</v>
      </c>
      <c r="D14" t="s">
        <v>240</v>
      </c>
      <c r="E14" t="s">
        <v>14</v>
      </c>
      <c r="F14" s="2">
        <v>47</v>
      </c>
      <c r="G14" t="s">
        <v>328</v>
      </c>
      <c r="H14">
        <v>400</v>
      </c>
      <c r="I14">
        <v>80</v>
      </c>
      <c r="J14">
        <v>32000</v>
      </c>
      <c r="K14" t="s">
        <v>21</v>
      </c>
      <c r="L14" t="s">
        <v>100</v>
      </c>
    </row>
    <row r="15" spans="2:12" x14ac:dyDescent="0.25">
      <c r="B15" s="1">
        <v>10525</v>
      </c>
      <c r="C15" s="6">
        <v>45099</v>
      </c>
      <c r="D15" t="s">
        <v>241</v>
      </c>
      <c r="E15" t="s">
        <v>14</v>
      </c>
      <c r="F15" s="2">
        <v>60</v>
      </c>
      <c r="G15" t="s">
        <v>325</v>
      </c>
      <c r="H15">
        <v>320</v>
      </c>
      <c r="I15">
        <v>80</v>
      </c>
      <c r="J15">
        <v>25536</v>
      </c>
      <c r="K15" t="s">
        <v>21</v>
      </c>
      <c r="L15" t="s">
        <v>100</v>
      </c>
    </row>
    <row r="16" spans="2:12" x14ac:dyDescent="0.25">
      <c r="B16" s="1">
        <v>10535</v>
      </c>
      <c r="C16" s="6">
        <v>45101</v>
      </c>
      <c r="D16" t="s">
        <v>242</v>
      </c>
      <c r="E16" t="s">
        <v>14</v>
      </c>
      <c r="F16" s="2">
        <v>44</v>
      </c>
      <c r="G16" t="s">
        <v>323</v>
      </c>
      <c r="H16">
        <v>400</v>
      </c>
      <c r="I16">
        <v>80</v>
      </c>
      <c r="J16">
        <v>31839.999999999996</v>
      </c>
      <c r="K16" t="s">
        <v>16</v>
      </c>
      <c r="L16" t="s">
        <v>25</v>
      </c>
    </row>
    <row r="17" spans="2:12" x14ac:dyDescent="0.25">
      <c r="B17" s="1">
        <v>10461</v>
      </c>
      <c r="C17" s="6">
        <v>45086</v>
      </c>
      <c r="D17" t="s">
        <v>243</v>
      </c>
      <c r="E17" t="s">
        <v>34</v>
      </c>
      <c r="F17" s="2">
        <v>57</v>
      </c>
      <c r="G17" t="s">
        <v>328</v>
      </c>
      <c r="H17">
        <v>400</v>
      </c>
      <c r="I17">
        <v>76</v>
      </c>
      <c r="J17">
        <v>30400.000000000007</v>
      </c>
      <c r="K17" t="s">
        <v>16</v>
      </c>
      <c r="L17" t="s">
        <v>100</v>
      </c>
    </row>
    <row r="18" spans="2:12" x14ac:dyDescent="0.25">
      <c r="B18" s="1">
        <v>10506</v>
      </c>
      <c r="C18" s="6">
        <v>45095</v>
      </c>
      <c r="D18" t="s">
        <v>244</v>
      </c>
      <c r="E18" t="s">
        <v>14</v>
      </c>
      <c r="F18" s="2">
        <v>56</v>
      </c>
      <c r="G18" t="s">
        <v>322</v>
      </c>
      <c r="H18">
        <v>150</v>
      </c>
      <c r="I18">
        <v>76</v>
      </c>
      <c r="J18">
        <v>11400.000000000002</v>
      </c>
      <c r="K18" t="s">
        <v>16</v>
      </c>
      <c r="L18" t="s">
        <v>25</v>
      </c>
    </row>
    <row r="19" spans="2:12" x14ac:dyDescent="0.25">
      <c r="B19" s="1">
        <v>10531</v>
      </c>
      <c r="C19" s="6">
        <v>45100</v>
      </c>
      <c r="D19" t="s">
        <v>245</v>
      </c>
      <c r="E19" t="s">
        <v>14</v>
      </c>
      <c r="F19" s="2">
        <v>53</v>
      </c>
      <c r="G19" t="s">
        <v>323</v>
      </c>
      <c r="H19">
        <v>400</v>
      </c>
      <c r="I19">
        <v>76</v>
      </c>
      <c r="J19">
        <v>30400.000000000007</v>
      </c>
      <c r="K19" t="s">
        <v>21</v>
      </c>
      <c r="L19" t="s">
        <v>100</v>
      </c>
    </row>
    <row r="20" spans="2:12" x14ac:dyDescent="0.25">
      <c r="B20" s="1">
        <v>10536</v>
      </c>
      <c r="C20" s="6">
        <v>45101</v>
      </c>
      <c r="D20" t="s">
        <v>246</v>
      </c>
      <c r="E20" t="s">
        <v>14</v>
      </c>
      <c r="F20" s="2">
        <v>45</v>
      </c>
      <c r="G20" t="s">
        <v>322</v>
      </c>
      <c r="H20">
        <v>150</v>
      </c>
      <c r="I20">
        <v>76</v>
      </c>
      <c r="J20">
        <v>11400.000000000002</v>
      </c>
      <c r="K20" t="s">
        <v>16</v>
      </c>
      <c r="L20" t="s">
        <v>25</v>
      </c>
    </row>
    <row r="21" spans="2:12" x14ac:dyDescent="0.25">
      <c r="B21" s="1">
        <v>10541</v>
      </c>
      <c r="C21" s="6">
        <v>45102</v>
      </c>
      <c r="D21" t="s">
        <v>247</v>
      </c>
      <c r="E21" t="s">
        <v>14</v>
      </c>
      <c r="F21" s="2">
        <v>68</v>
      </c>
      <c r="G21" t="s">
        <v>323</v>
      </c>
      <c r="H21">
        <v>320</v>
      </c>
      <c r="I21">
        <v>76</v>
      </c>
      <c r="J21">
        <v>24320.000000000004</v>
      </c>
      <c r="K21" t="s">
        <v>16</v>
      </c>
      <c r="L21" t="s">
        <v>128</v>
      </c>
    </row>
    <row r="22" spans="2:12" x14ac:dyDescent="0.25">
      <c r="B22" s="1">
        <v>10546</v>
      </c>
      <c r="C22" s="6">
        <v>45103</v>
      </c>
      <c r="D22" t="s">
        <v>248</v>
      </c>
      <c r="E22" t="s">
        <v>34</v>
      </c>
      <c r="F22" s="2">
        <v>54</v>
      </c>
      <c r="G22" t="s">
        <v>328</v>
      </c>
      <c r="H22">
        <v>320</v>
      </c>
      <c r="I22">
        <v>76</v>
      </c>
      <c r="J22">
        <v>24320.000000000004</v>
      </c>
      <c r="K22" t="s">
        <v>16</v>
      </c>
      <c r="L22" t="s">
        <v>128</v>
      </c>
    </row>
    <row r="23" spans="2:12" x14ac:dyDescent="0.25">
      <c r="B23" s="1">
        <v>10501</v>
      </c>
      <c r="C23" s="6">
        <v>45094</v>
      </c>
      <c r="D23" t="s">
        <v>249</v>
      </c>
      <c r="E23" t="s">
        <v>34</v>
      </c>
      <c r="F23" s="2">
        <v>40</v>
      </c>
      <c r="G23" t="s">
        <v>325</v>
      </c>
      <c r="H23">
        <v>320</v>
      </c>
      <c r="I23">
        <v>76</v>
      </c>
      <c r="J23">
        <v>24320</v>
      </c>
      <c r="K23" t="s">
        <v>16</v>
      </c>
      <c r="L23" t="s">
        <v>25</v>
      </c>
    </row>
    <row r="24" spans="2:12" x14ac:dyDescent="0.25">
      <c r="B24" s="1">
        <v>10456</v>
      </c>
      <c r="C24" s="6">
        <v>45085</v>
      </c>
      <c r="D24" t="s">
        <v>250</v>
      </c>
      <c r="E24" t="s">
        <v>34</v>
      </c>
      <c r="F24" s="2">
        <v>49</v>
      </c>
      <c r="G24" t="s">
        <v>344</v>
      </c>
      <c r="H24">
        <v>320</v>
      </c>
      <c r="I24">
        <v>75</v>
      </c>
      <c r="J24">
        <v>24000</v>
      </c>
      <c r="K24" t="s">
        <v>16</v>
      </c>
      <c r="L24" t="s">
        <v>81</v>
      </c>
    </row>
    <row r="25" spans="2:12" x14ac:dyDescent="0.25">
      <c r="B25" s="1">
        <v>10457</v>
      </c>
      <c r="C25" s="6">
        <v>45085</v>
      </c>
      <c r="D25" t="s">
        <v>251</v>
      </c>
      <c r="E25" t="s">
        <v>34</v>
      </c>
      <c r="F25" s="2">
        <v>49</v>
      </c>
      <c r="G25" t="s">
        <v>344</v>
      </c>
      <c r="H25">
        <v>400</v>
      </c>
      <c r="I25">
        <v>75</v>
      </c>
      <c r="J25">
        <v>30000</v>
      </c>
      <c r="K25" t="s">
        <v>16</v>
      </c>
      <c r="L25" t="s">
        <v>100</v>
      </c>
    </row>
    <row r="26" spans="2:12" x14ac:dyDescent="0.25">
      <c r="B26" s="1">
        <v>10463</v>
      </c>
      <c r="C26" s="6">
        <v>45086</v>
      </c>
      <c r="D26" t="s">
        <v>252</v>
      </c>
      <c r="E26" t="s">
        <v>14</v>
      </c>
      <c r="F26" s="2">
        <v>48</v>
      </c>
      <c r="G26" t="s">
        <v>328</v>
      </c>
      <c r="H26">
        <v>150</v>
      </c>
      <c r="I26">
        <v>75</v>
      </c>
      <c r="J26">
        <v>11250</v>
      </c>
      <c r="K26" t="s">
        <v>16</v>
      </c>
      <c r="L26" t="s">
        <v>100</v>
      </c>
    </row>
    <row r="27" spans="2:12" x14ac:dyDescent="0.25">
      <c r="B27" s="1">
        <v>10468</v>
      </c>
      <c r="C27" s="6">
        <v>45087</v>
      </c>
      <c r="D27" t="s">
        <v>253</v>
      </c>
      <c r="E27" t="s">
        <v>14</v>
      </c>
      <c r="F27" s="2">
        <v>67</v>
      </c>
      <c r="G27" t="s">
        <v>322</v>
      </c>
      <c r="H27">
        <v>150</v>
      </c>
      <c r="I27">
        <v>75</v>
      </c>
      <c r="J27">
        <v>11250</v>
      </c>
      <c r="K27" t="s">
        <v>16</v>
      </c>
      <c r="L27" t="s">
        <v>25</v>
      </c>
    </row>
    <row r="28" spans="2:12" x14ac:dyDescent="0.25">
      <c r="B28" s="1">
        <v>10470</v>
      </c>
      <c r="C28" s="6">
        <v>45088</v>
      </c>
      <c r="D28" t="s">
        <v>254</v>
      </c>
      <c r="E28" t="s">
        <v>34</v>
      </c>
      <c r="F28" s="2">
        <v>59</v>
      </c>
      <c r="G28" t="s">
        <v>322</v>
      </c>
      <c r="H28">
        <v>250</v>
      </c>
      <c r="I28">
        <v>75</v>
      </c>
      <c r="J28">
        <v>18750</v>
      </c>
      <c r="K28" t="s">
        <v>16</v>
      </c>
      <c r="L28" t="s">
        <v>25</v>
      </c>
    </row>
    <row r="29" spans="2:12" x14ac:dyDescent="0.25">
      <c r="B29" s="1">
        <v>10473</v>
      </c>
      <c r="C29" s="6">
        <v>45088</v>
      </c>
      <c r="D29" t="s">
        <v>255</v>
      </c>
      <c r="E29" t="s">
        <v>34</v>
      </c>
      <c r="F29" s="2">
        <v>63</v>
      </c>
      <c r="G29" t="s">
        <v>344</v>
      </c>
      <c r="H29">
        <v>250</v>
      </c>
      <c r="I29">
        <v>75</v>
      </c>
      <c r="J29">
        <v>18750</v>
      </c>
      <c r="K29" t="s">
        <v>16</v>
      </c>
      <c r="L29" t="s">
        <v>25</v>
      </c>
    </row>
    <row r="30" spans="2:12" x14ac:dyDescent="0.25">
      <c r="B30" s="1">
        <v>10478</v>
      </c>
      <c r="C30" s="6">
        <v>45089</v>
      </c>
      <c r="D30" t="s">
        <v>256</v>
      </c>
      <c r="E30" t="s">
        <v>34</v>
      </c>
      <c r="F30" s="2">
        <v>62</v>
      </c>
      <c r="G30" t="s">
        <v>328</v>
      </c>
      <c r="H30">
        <v>250</v>
      </c>
      <c r="I30">
        <v>75</v>
      </c>
      <c r="J30">
        <v>18750</v>
      </c>
      <c r="K30" t="s">
        <v>16</v>
      </c>
      <c r="L30" t="s">
        <v>25</v>
      </c>
    </row>
    <row r="31" spans="2:12" x14ac:dyDescent="0.25">
      <c r="B31" s="1">
        <v>10481</v>
      </c>
      <c r="C31" s="6">
        <v>45090</v>
      </c>
      <c r="D31" t="s">
        <v>256</v>
      </c>
      <c r="E31" t="s">
        <v>34</v>
      </c>
      <c r="F31" s="2">
        <v>67</v>
      </c>
      <c r="G31" t="s">
        <v>325</v>
      </c>
      <c r="H31">
        <v>250</v>
      </c>
      <c r="I31">
        <v>75</v>
      </c>
      <c r="J31">
        <v>18750</v>
      </c>
      <c r="K31" t="s">
        <v>16</v>
      </c>
      <c r="L31" t="s">
        <v>25</v>
      </c>
    </row>
    <row r="32" spans="2:12" x14ac:dyDescent="0.25">
      <c r="B32" s="1">
        <v>10481</v>
      </c>
      <c r="C32" s="6">
        <v>45090</v>
      </c>
      <c r="D32" t="s">
        <v>257</v>
      </c>
      <c r="E32" t="s">
        <v>34</v>
      </c>
      <c r="F32" s="2">
        <v>67</v>
      </c>
      <c r="G32" t="s">
        <v>325</v>
      </c>
      <c r="H32">
        <v>400</v>
      </c>
      <c r="I32">
        <v>75</v>
      </c>
      <c r="J32">
        <v>30000</v>
      </c>
      <c r="K32" t="s">
        <v>16</v>
      </c>
      <c r="L32" t="s">
        <v>25</v>
      </c>
    </row>
    <row r="33" spans="2:12" x14ac:dyDescent="0.25">
      <c r="B33" s="1">
        <v>10510</v>
      </c>
      <c r="C33" s="6">
        <v>45096</v>
      </c>
      <c r="D33" t="s">
        <v>258</v>
      </c>
      <c r="E33" t="s">
        <v>14</v>
      </c>
      <c r="F33" s="2">
        <v>60</v>
      </c>
      <c r="G33" t="s">
        <v>345</v>
      </c>
      <c r="H33">
        <v>150</v>
      </c>
      <c r="I33">
        <v>75</v>
      </c>
      <c r="J33">
        <v>11250</v>
      </c>
      <c r="K33" t="s">
        <v>16</v>
      </c>
      <c r="L33" t="s">
        <v>25</v>
      </c>
    </row>
    <row r="34" spans="2:12" x14ac:dyDescent="0.25">
      <c r="B34" s="1">
        <v>10529</v>
      </c>
      <c r="C34" s="6">
        <v>45099</v>
      </c>
      <c r="D34" t="s">
        <v>259</v>
      </c>
      <c r="E34" t="s">
        <v>14</v>
      </c>
      <c r="F34" s="2">
        <v>62</v>
      </c>
      <c r="G34" t="s">
        <v>323</v>
      </c>
      <c r="H34">
        <v>320</v>
      </c>
      <c r="I34">
        <v>74</v>
      </c>
      <c r="J34">
        <v>23673.600000000002</v>
      </c>
      <c r="K34" t="s">
        <v>21</v>
      </c>
      <c r="L34" t="s">
        <v>100</v>
      </c>
    </row>
    <row r="35" spans="2:12" x14ac:dyDescent="0.25">
      <c r="B35" s="1">
        <v>10476</v>
      </c>
      <c r="C35" s="6">
        <v>45089</v>
      </c>
      <c r="D35" t="s">
        <v>260</v>
      </c>
      <c r="E35" t="s">
        <v>34</v>
      </c>
      <c r="F35" s="2">
        <v>52</v>
      </c>
      <c r="G35" t="s">
        <v>322</v>
      </c>
      <c r="H35">
        <v>250</v>
      </c>
      <c r="I35">
        <v>70</v>
      </c>
      <c r="J35">
        <v>17500</v>
      </c>
      <c r="K35" t="s">
        <v>16</v>
      </c>
      <c r="L35" t="s">
        <v>25</v>
      </c>
    </row>
    <row r="36" spans="2:12" x14ac:dyDescent="0.25">
      <c r="B36" s="1">
        <v>10487</v>
      </c>
      <c r="C36" s="6">
        <v>45091</v>
      </c>
      <c r="D36" t="s">
        <v>261</v>
      </c>
      <c r="E36" t="s">
        <v>34</v>
      </c>
      <c r="F36" s="2">
        <v>41</v>
      </c>
      <c r="G36" t="s">
        <v>344</v>
      </c>
      <c r="H36">
        <v>320</v>
      </c>
      <c r="I36">
        <v>70</v>
      </c>
      <c r="J36">
        <v>22400</v>
      </c>
      <c r="K36" t="s">
        <v>16</v>
      </c>
      <c r="L36" t="s">
        <v>105</v>
      </c>
    </row>
    <row r="37" spans="2:12" x14ac:dyDescent="0.25">
      <c r="B37" s="1">
        <v>10509</v>
      </c>
      <c r="C37" s="6">
        <v>45095</v>
      </c>
      <c r="D37" t="s">
        <v>262</v>
      </c>
      <c r="E37" t="s">
        <v>14</v>
      </c>
      <c r="F37" s="2">
        <v>51</v>
      </c>
      <c r="G37" t="s">
        <v>322</v>
      </c>
      <c r="H37">
        <v>320</v>
      </c>
      <c r="I37">
        <v>70</v>
      </c>
      <c r="J37">
        <v>22400</v>
      </c>
      <c r="K37" t="s">
        <v>16</v>
      </c>
      <c r="L37" t="s">
        <v>25</v>
      </c>
    </row>
    <row r="38" spans="2:12" x14ac:dyDescent="0.25">
      <c r="B38" s="1">
        <v>10500</v>
      </c>
      <c r="C38" s="6">
        <v>45094</v>
      </c>
      <c r="D38" t="s">
        <v>263</v>
      </c>
      <c r="E38" t="s">
        <v>34</v>
      </c>
      <c r="F38" s="2">
        <v>54</v>
      </c>
      <c r="G38" t="s">
        <v>325</v>
      </c>
      <c r="H38">
        <v>400</v>
      </c>
      <c r="I38">
        <v>67</v>
      </c>
      <c r="J38">
        <v>26800</v>
      </c>
      <c r="K38" t="s">
        <v>16</v>
      </c>
      <c r="L38" t="s">
        <v>25</v>
      </c>
    </row>
    <row r="39" spans="2:12" x14ac:dyDescent="0.25">
      <c r="B39" s="1">
        <v>10515</v>
      </c>
      <c r="C39" s="6">
        <v>45097</v>
      </c>
      <c r="D39" t="s">
        <v>264</v>
      </c>
      <c r="E39" t="s">
        <v>14</v>
      </c>
      <c r="F39" s="2">
        <v>58</v>
      </c>
      <c r="G39" t="s">
        <v>345</v>
      </c>
      <c r="H39">
        <v>150</v>
      </c>
      <c r="I39">
        <v>63</v>
      </c>
      <c r="J39">
        <v>9450</v>
      </c>
      <c r="K39" t="s">
        <v>21</v>
      </c>
      <c r="L39" t="s">
        <v>105</v>
      </c>
    </row>
    <row r="40" spans="2:12" x14ac:dyDescent="0.25">
      <c r="B40" s="1">
        <v>10516</v>
      </c>
      <c r="C40" s="6">
        <v>45097</v>
      </c>
      <c r="D40" t="s">
        <v>265</v>
      </c>
      <c r="E40" t="s">
        <v>14</v>
      </c>
      <c r="F40" s="2">
        <v>55</v>
      </c>
      <c r="G40" t="s">
        <v>345</v>
      </c>
      <c r="H40">
        <v>320</v>
      </c>
      <c r="I40">
        <v>63</v>
      </c>
      <c r="J40">
        <v>20160</v>
      </c>
      <c r="K40" t="s">
        <v>21</v>
      </c>
      <c r="L40" t="s">
        <v>105</v>
      </c>
    </row>
    <row r="41" spans="2:12" x14ac:dyDescent="0.25">
      <c r="B41" s="1">
        <v>10483</v>
      </c>
      <c r="C41" s="6">
        <v>45090</v>
      </c>
      <c r="D41" t="s">
        <v>266</v>
      </c>
      <c r="E41" t="s">
        <v>14</v>
      </c>
      <c r="F41" s="2">
        <v>52</v>
      </c>
      <c r="G41" t="s">
        <v>345</v>
      </c>
      <c r="H41">
        <v>150</v>
      </c>
      <c r="I41">
        <v>63</v>
      </c>
      <c r="J41">
        <v>9450</v>
      </c>
      <c r="K41" t="s">
        <v>16</v>
      </c>
      <c r="L41" t="s">
        <v>105</v>
      </c>
    </row>
    <row r="42" spans="2:12" x14ac:dyDescent="0.25">
      <c r="B42" s="1">
        <v>10468</v>
      </c>
      <c r="C42" s="6">
        <v>45087</v>
      </c>
      <c r="D42" t="s">
        <v>267</v>
      </c>
      <c r="E42" t="s">
        <v>34</v>
      </c>
      <c r="F42" s="2">
        <v>53</v>
      </c>
      <c r="G42" t="s">
        <v>322</v>
      </c>
      <c r="H42">
        <v>400</v>
      </c>
      <c r="I42">
        <v>60</v>
      </c>
      <c r="J42">
        <v>24000</v>
      </c>
      <c r="K42" t="s">
        <v>16</v>
      </c>
      <c r="L42" t="s">
        <v>25</v>
      </c>
    </row>
    <row r="43" spans="2:12" x14ac:dyDescent="0.25">
      <c r="B43" s="1">
        <v>10475</v>
      </c>
      <c r="C43" s="6">
        <v>45089</v>
      </c>
      <c r="D43" t="s">
        <v>268</v>
      </c>
      <c r="E43" t="s">
        <v>34</v>
      </c>
      <c r="F43" s="2">
        <v>46</v>
      </c>
      <c r="G43" t="s">
        <v>322</v>
      </c>
      <c r="H43">
        <v>320</v>
      </c>
      <c r="I43">
        <v>60</v>
      </c>
      <c r="J43">
        <v>19200</v>
      </c>
      <c r="K43" t="s">
        <v>16</v>
      </c>
      <c r="L43" t="s">
        <v>25</v>
      </c>
    </row>
    <row r="44" spans="2:12" x14ac:dyDescent="0.25">
      <c r="B44" s="1">
        <v>10480</v>
      </c>
      <c r="C44" s="6">
        <v>45090</v>
      </c>
      <c r="D44" t="s">
        <v>269</v>
      </c>
      <c r="E44" t="s">
        <v>34</v>
      </c>
      <c r="F44" s="2">
        <v>52</v>
      </c>
      <c r="G44" t="s">
        <v>325</v>
      </c>
      <c r="H44">
        <v>250</v>
      </c>
      <c r="I44">
        <v>60</v>
      </c>
      <c r="J44">
        <v>15000</v>
      </c>
      <c r="K44" t="s">
        <v>16</v>
      </c>
      <c r="L44" t="s">
        <v>25</v>
      </c>
    </row>
    <row r="45" spans="2:12" x14ac:dyDescent="0.25">
      <c r="B45" s="1">
        <v>10495</v>
      </c>
      <c r="C45" s="6">
        <v>45093</v>
      </c>
      <c r="D45" t="s">
        <v>270</v>
      </c>
      <c r="E45" t="s">
        <v>34</v>
      </c>
      <c r="F45" s="2">
        <v>61</v>
      </c>
      <c r="G45" t="s">
        <v>344</v>
      </c>
      <c r="H45">
        <v>150</v>
      </c>
      <c r="I45">
        <v>60</v>
      </c>
      <c r="J45">
        <v>9000</v>
      </c>
      <c r="K45" t="s">
        <v>16</v>
      </c>
      <c r="L45" t="s">
        <v>25</v>
      </c>
    </row>
    <row r="46" spans="2:12" x14ac:dyDescent="0.25">
      <c r="B46" s="1">
        <v>10484</v>
      </c>
      <c r="C46" s="6">
        <v>45090</v>
      </c>
      <c r="D46" t="s">
        <v>271</v>
      </c>
      <c r="E46" t="s">
        <v>14</v>
      </c>
      <c r="F46" s="2">
        <v>44</v>
      </c>
      <c r="G46" t="s">
        <v>345</v>
      </c>
      <c r="H46">
        <v>150</v>
      </c>
      <c r="I46">
        <v>60</v>
      </c>
      <c r="J46">
        <v>9000</v>
      </c>
      <c r="K46" t="s">
        <v>16</v>
      </c>
      <c r="L46" t="s">
        <v>105</v>
      </c>
    </row>
    <row r="47" spans="2:12" x14ac:dyDescent="0.25">
      <c r="B47" s="1">
        <v>10543</v>
      </c>
      <c r="C47" s="6">
        <v>45102</v>
      </c>
      <c r="D47" t="s">
        <v>272</v>
      </c>
      <c r="E47" t="s">
        <v>14</v>
      </c>
      <c r="F47" s="2">
        <v>55</v>
      </c>
      <c r="G47" t="s">
        <v>343</v>
      </c>
      <c r="H47">
        <v>400</v>
      </c>
      <c r="I47">
        <v>60</v>
      </c>
      <c r="J47">
        <v>23920</v>
      </c>
      <c r="K47" t="s">
        <v>16</v>
      </c>
      <c r="L47" t="s">
        <v>128</v>
      </c>
    </row>
    <row r="48" spans="2:12" x14ac:dyDescent="0.25">
      <c r="B48" s="1">
        <v>10466</v>
      </c>
      <c r="C48" s="6">
        <v>45087</v>
      </c>
      <c r="D48" t="s">
        <v>273</v>
      </c>
      <c r="E48" t="s">
        <v>34</v>
      </c>
      <c r="F48" s="2">
        <v>37</v>
      </c>
      <c r="G48" t="s">
        <v>322</v>
      </c>
      <c r="H48">
        <v>250</v>
      </c>
      <c r="I48">
        <v>50</v>
      </c>
      <c r="J48">
        <v>12500</v>
      </c>
      <c r="K48" t="s">
        <v>16</v>
      </c>
      <c r="L48" t="s">
        <v>25</v>
      </c>
    </row>
    <row r="49" spans="2:12" x14ac:dyDescent="0.25">
      <c r="B49" s="1">
        <v>10467</v>
      </c>
      <c r="C49" s="6">
        <v>45087</v>
      </c>
      <c r="D49" t="s">
        <v>274</v>
      </c>
      <c r="E49" t="s">
        <v>34</v>
      </c>
      <c r="F49" s="2">
        <v>39</v>
      </c>
      <c r="G49" t="s">
        <v>322</v>
      </c>
      <c r="H49">
        <v>400</v>
      </c>
      <c r="I49">
        <v>50</v>
      </c>
      <c r="J49">
        <v>20000</v>
      </c>
      <c r="K49" t="s">
        <v>16</v>
      </c>
      <c r="L49" t="s">
        <v>25</v>
      </c>
    </row>
    <row r="50" spans="2:12" x14ac:dyDescent="0.25">
      <c r="B50" s="1">
        <v>10532</v>
      </c>
      <c r="C50" s="6">
        <v>45100</v>
      </c>
      <c r="D50" t="s">
        <v>275</v>
      </c>
      <c r="E50" t="s">
        <v>14</v>
      </c>
      <c r="F50" s="2">
        <v>28</v>
      </c>
      <c r="G50" t="s">
        <v>323</v>
      </c>
      <c r="H50">
        <v>400</v>
      </c>
      <c r="I50">
        <v>46</v>
      </c>
      <c r="J50">
        <v>18240</v>
      </c>
      <c r="K50" t="s">
        <v>21</v>
      </c>
      <c r="L50" t="s">
        <v>105</v>
      </c>
    </row>
    <row r="51" spans="2:12" x14ac:dyDescent="0.25">
      <c r="B51" s="1">
        <v>10533</v>
      </c>
      <c r="C51" s="6">
        <v>45100</v>
      </c>
      <c r="D51" t="s">
        <v>276</v>
      </c>
      <c r="E51" t="s">
        <v>14</v>
      </c>
      <c r="F51" s="2">
        <v>37</v>
      </c>
      <c r="G51" t="s">
        <v>323</v>
      </c>
      <c r="H51">
        <v>400</v>
      </c>
      <c r="I51">
        <v>46</v>
      </c>
      <c r="J51">
        <v>18240</v>
      </c>
      <c r="K51" t="s">
        <v>21</v>
      </c>
      <c r="L51" t="s">
        <v>105</v>
      </c>
    </row>
    <row r="52" spans="2:12" x14ac:dyDescent="0.25">
      <c r="B52" s="1">
        <v>10527</v>
      </c>
      <c r="C52" s="6">
        <v>45099</v>
      </c>
      <c r="D52" t="s">
        <v>277</v>
      </c>
      <c r="E52" t="s">
        <v>14</v>
      </c>
      <c r="F52" s="2">
        <v>33</v>
      </c>
      <c r="G52" t="s">
        <v>323</v>
      </c>
      <c r="H52">
        <v>400</v>
      </c>
      <c r="I52">
        <v>45</v>
      </c>
      <c r="J52">
        <v>18000</v>
      </c>
      <c r="K52" t="s">
        <v>21</v>
      </c>
      <c r="L52" t="s">
        <v>100</v>
      </c>
    </row>
    <row r="53" spans="2:12" x14ac:dyDescent="0.25">
      <c r="B53" s="1">
        <v>10528</v>
      </c>
      <c r="C53" s="6">
        <v>45099</v>
      </c>
      <c r="D53" t="s">
        <v>278</v>
      </c>
      <c r="E53" t="s">
        <v>14</v>
      </c>
      <c r="F53" s="2">
        <v>49</v>
      </c>
      <c r="G53" t="s">
        <v>323</v>
      </c>
      <c r="H53">
        <v>150</v>
      </c>
      <c r="I53">
        <v>45</v>
      </c>
      <c r="J53">
        <v>6750</v>
      </c>
      <c r="K53" t="s">
        <v>21</v>
      </c>
      <c r="L53" t="s">
        <v>100</v>
      </c>
    </row>
    <row r="54" spans="2:12" x14ac:dyDescent="0.25">
      <c r="B54" s="1">
        <v>10496</v>
      </c>
      <c r="C54" s="6">
        <v>45093</v>
      </c>
      <c r="D54" t="s">
        <v>279</v>
      </c>
      <c r="E54" t="s">
        <v>34</v>
      </c>
      <c r="F54" s="2">
        <v>25</v>
      </c>
      <c r="G54" t="s">
        <v>344</v>
      </c>
      <c r="H54">
        <v>150</v>
      </c>
      <c r="I54">
        <v>44</v>
      </c>
      <c r="J54">
        <v>6600</v>
      </c>
      <c r="K54" t="s">
        <v>16</v>
      </c>
      <c r="L54" t="s">
        <v>25</v>
      </c>
    </row>
    <row r="55" spans="2:12" x14ac:dyDescent="0.25">
      <c r="B55" s="1">
        <v>10498</v>
      </c>
      <c r="C55" s="6">
        <v>45093</v>
      </c>
      <c r="D55" t="s">
        <v>280</v>
      </c>
      <c r="E55" t="s">
        <v>34</v>
      </c>
      <c r="F55" s="2">
        <v>36</v>
      </c>
      <c r="G55" t="s">
        <v>344</v>
      </c>
      <c r="H55">
        <v>150</v>
      </c>
      <c r="I55">
        <v>44</v>
      </c>
      <c r="J55">
        <v>6600</v>
      </c>
      <c r="K55" t="s">
        <v>16</v>
      </c>
      <c r="L55" t="s">
        <v>25</v>
      </c>
    </row>
    <row r="56" spans="2:12" x14ac:dyDescent="0.25">
      <c r="B56" s="1">
        <v>10512</v>
      </c>
      <c r="C56" s="6">
        <v>45096</v>
      </c>
      <c r="D56" t="s">
        <v>281</v>
      </c>
      <c r="E56" t="s">
        <v>14</v>
      </c>
      <c r="F56" s="2">
        <v>37</v>
      </c>
      <c r="G56" t="s">
        <v>345</v>
      </c>
      <c r="H56">
        <v>320</v>
      </c>
      <c r="I56">
        <v>43</v>
      </c>
      <c r="J56">
        <v>13760</v>
      </c>
      <c r="K56" t="s">
        <v>16</v>
      </c>
      <c r="L56" t="s">
        <v>105</v>
      </c>
    </row>
    <row r="57" spans="2:12" x14ac:dyDescent="0.25">
      <c r="B57" s="1">
        <v>10513</v>
      </c>
      <c r="C57" s="6">
        <v>45096</v>
      </c>
      <c r="D57" t="s">
        <v>282</v>
      </c>
      <c r="E57" t="s">
        <v>14</v>
      </c>
      <c r="F57" s="2">
        <v>51</v>
      </c>
      <c r="G57" t="s">
        <v>345</v>
      </c>
      <c r="H57">
        <v>250</v>
      </c>
      <c r="I57">
        <v>42</v>
      </c>
      <c r="J57">
        <v>10500</v>
      </c>
      <c r="K57" t="s">
        <v>21</v>
      </c>
      <c r="L57" t="s">
        <v>105</v>
      </c>
    </row>
    <row r="58" spans="2:12" x14ac:dyDescent="0.25">
      <c r="B58" s="1">
        <v>10474</v>
      </c>
      <c r="C58" s="6">
        <v>45088</v>
      </c>
      <c r="D58" t="s">
        <v>283</v>
      </c>
      <c r="E58" t="s">
        <v>34</v>
      </c>
      <c r="F58" s="2">
        <v>21</v>
      </c>
      <c r="G58" t="s">
        <v>344</v>
      </c>
      <c r="H58">
        <v>150</v>
      </c>
      <c r="I58">
        <v>40</v>
      </c>
      <c r="J58">
        <v>6000</v>
      </c>
      <c r="K58" t="s">
        <v>16</v>
      </c>
      <c r="L58" t="s">
        <v>25</v>
      </c>
    </row>
    <row r="59" spans="2:12" x14ac:dyDescent="0.25">
      <c r="B59" s="1">
        <v>10479</v>
      </c>
      <c r="C59" s="6">
        <v>45089</v>
      </c>
      <c r="D59" t="s">
        <v>284</v>
      </c>
      <c r="E59" t="s">
        <v>34</v>
      </c>
      <c r="F59" s="2">
        <v>37</v>
      </c>
      <c r="G59" t="s">
        <v>328</v>
      </c>
      <c r="H59">
        <v>250</v>
      </c>
      <c r="I59">
        <v>40</v>
      </c>
      <c r="J59">
        <v>10000</v>
      </c>
      <c r="K59" t="s">
        <v>16</v>
      </c>
      <c r="L59" t="s">
        <v>25</v>
      </c>
    </row>
    <row r="60" spans="2:12" x14ac:dyDescent="0.25">
      <c r="B60" s="1">
        <v>10488</v>
      </c>
      <c r="C60" s="6">
        <v>45091</v>
      </c>
      <c r="D60" t="s">
        <v>285</v>
      </c>
      <c r="E60" t="s">
        <v>34</v>
      </c>
      <c r="F60" s="2">
        <v>24</v>
      </c>
      <c r="G60" t="s">
        <v>344</v>
      </c>
      <c r="H60">
        <v>150</v>
      </c>
      <c r="I60">
        <v>40</v>
      </c>
      <c r="J60">
        <v>6000</v>
      </c>
      <c r="K60" t="s">
        <v>16</v>
      </c>
      <c r="L60" t="s">
        <v>105</v>
      </c>
    </row>
    <row r="61" spans="2:12" x14ac:dyDescent="0.25">
      <c r="B61" s="1">
        <v>10526</v>
      </c>
      <c r="C61" s="6">
        <v>45099</v>
      </c>
      <c r="D61" t="s">
        <v>286</v>
      </c>
      <c r="E61" t="s">
        <v>14</v>
      </c>
      <c r="F61" s="2">
        <v>24</v>
      </c>
      <c r="G61" t="s">
        <v>323</v>
      </c>
      <c r="H61">
        <v>400</v>
      </c>
      <c r="I61">
        <v>40</v>
      </c>
      <c r="J61">
        <v>15919.999999999998</v>
      </c>
      <c r="K61" t="s">
        <v>21</v>
      </c>
      <c r="L61" t="s">
        <v>100</v>
      </c>
    </row>
    <row r="62" spans="2:12" x14ac:dyDescent="0.25">
      <c r="B62" s="1">
        <v>10548</v>
      </c>
      <c r="C62" s="6">
        <v>45103</v>
      </c>
      <c r="D62" t="s">
        <v>287</v>
      </c>
      <c r="E62" t="s">
        <v>34</v>
      </c>
      <c r="F62" s="2">
        <v>21</v>
      </c>
      <c r="G62" t="s">
        <v>343</v>
      </c>
      <c r="H62">
        <v>150</v>
      </c>
      <c r="I62">
        <v>40</v>
      </c>
      <c r="J62">
        <v>5970</v>
      </c>
      <c r="K62" t="s">
        <v>16</v>
      </c>
      <c r="L62" t="s">
        <v>128</v>
      </c>
    </row>
    <row r="63" spans="2:12" x14ac:dyDescent="0.25">
      <c r="B63" s="1">
        <v>10508</v>
      </c>
      <c r="C63" s="6">
        <v>45095</v>
      </c>
      <c r="D63" t="s">
        <v>288</v>
      </c>
      <c r="E63" t="s">
        <v>14</v>
      </c>
      <c r="F63" s="2">
        <v>39</v>
      </c>
      <c r="G63" t="s">
        <v>322</v>
      </c>
      <c r="H63">
        <v>150</v>
      </c>
      <c r="I63">
        <v>39</v>
      </c>
      <c r="J63">
        <v>5850</v>
      </c>
      <c r="K63" t="s">
        <v>16</v>
      </c>
      <c r="L63" t="s">
        <v>25</v>
      </c>
    </row>
    <row r="64" spans="2:12" x14ac:dyDescent="0.25">
      <c r="B64" s="1">
        <v>10485</v>
      </c>
      <c r="C64" s="6">
        <v>45091</v>
      </c>
      <c r="D64" t="s">
        <v>289</v>
      </c>
      <c r="E64" t="s">
        <v>34</v>
      </c>
      <c r="F64" s="2">
        <v>35</v>
      </c>
      <c r="G64" t="s">
        <v>344</v>
      </c>
      <c r="H64">
        <v>400</v>
      </c>
      <c r="I64">
        <v>38</v>
      </c>
      <c r="J64">
        <v>15200</v>
      </c>
      <c r="K64" t="s">
        <v>16</v>
      </c>
      <c r="L64" t="s">
        <v>105</v>
      </c>
    </row>
    <row r="65" spans="2:12" x14ac:dyDescent="0.25">
      <c r="B65" s="1">
        <v>10505</v>
      </c>
      <c r="C65" s="6">
        <v>45095</v>
      </c>
      <c r="D65" t="s">
        <v>290</v>
      </c>
      <c r="E65" t="s">
        <v>14</v>
      </c>
      <c r="F65" s="2">
        <v>35</v>
      </c>
      <c r="G65" t="s">
        <v>322</v>
      </c>
      <c r="H65">
        <v>250</v>
      </c>
      <c r="I65">
        <v>38</v>
      </c>
      <c r="J65">
        <v>9500</v>
      </c>
      <c r="K65" t="s">
        <v>16</v>
      </c>
      <c r="L65" t="s">
        <v>25</v>
      </c>
    </row>
    <row r="66" spans="2:12" x14ac:dyDescent="0.25">
      <c r="B66" s="1">
        <v>10524</v>
      </c>
      <c r="C66" s="6">
        <v>45098</v>
      </c>
      <c r="D66" t="s">
        <v>291</v>
      </c>
      <c r="E66" t="s">
        <v>14</v>
      </c>
      <c r="F66" s="2">
        <v>46</v>
      </c>
      <c r="G66" t="s">
        <v>328</v>
      </c>
      <c r="H66">
        <v>150</v>
      </c>
      <c r="I66">
        <v>38</v>
      </c>
      <c r="J66">
        <v>5700</v>
      </c>
      <c r="K66" t="s">
        <v>21</v>
      </c>
      <c r="L66" t="s">
        <v>100</v>
      </c>
    </row>
    <row r="67" spans="2:12" x14ac:dyDescent="0.25">
      <c r="B67" s="1">
        <v>10459</v>
      </c>
      <c r="C67" s="6">
        <v>45085</v>
      </c>
      <c r="D67" t="s">
        <v>292</v>
      </c>
      <c r="E67" t="s">
        <v>14</v>
      </c>
      <c r="F67" s="2">
        <v>31</v>
      </c>
      <c r="G67" t="s">
        <v>325</v>
      </c>
      <c r="H67">
        <v>150</v>
      </c>
      <c r="I67">
        <v>38</v>
      </c>
      <c r="J67">
        <v>5699.9999999999991</v>
      </c>
      <c r="K67" t="s">
        <v>16</v>
      </c>
      <c r="L67" t="s">
        <v>81</v>
      </c>
    </row>
    <row r="68" spans="2:12" x14ac:dyDescent="0.25">
      <c r="B68" s="1">
        <v>10494</v>
      </c>
      <c r="C68" s="6">
        <v>45092</v>
      </c>
      <c r="D68" t="s">
        <v>293</v>
      </c>
      <c r="E68" t="s">
        <v>34</v>
      </c>
      <c r="F68" s="2">
        <v>23</v>
      </c>
      <c r="G68" t="s">
        <v>344</v>
      </c>
      <c r="H68">
        <v>320</v>
      </c>
      <c r="I68">
        <v>38</v>
      </c>
      <c r="J68">
        <v>12159.999999999998</v>
      </c>
      <c r="K68" t="s">
        <v>16</v>
      </c>
      <c r="L68" t="s">
        <v>25</v>
      </c>
    </row>
    <row r="69" spans="2:12" x14ac:dyDescent="0.25">
      <c r="B69" s="1">
        <v>10504</v>
      </c>
      <c r="C69" s="6">
        <v>45094</v>
      </c>
      <c r="D69" t="s">
        <v>294</v>
      </c>
      <c r="E69" t="s">
        <v>34</v>
      </c>
      <c r="F69" s="2">
        <v>23</v>
      </c>
      <c r="G69" t="s">
        <v>322</v>
      </c>
      <c r="H69">
        <v>320</v>
      </c>
      <c r="I69">
        <v>38</v>
      </c>
      <c r="J69">
        <v>12159.999999999998</v>
      </c>
      <c r="K69" t="s">
        <v>16</v>
      </c>
      <c r="L69" t="s">
        <v>25</v>
      </c>
    </row>
    <row r="70" spans="2:12" x14ac:dyDescent="0.25">
      <c r="B70" s="1">
        <v>10514</v>
      </c>
      <c r="C70" s="6">
        <v>45096</v>
      </c>
      <c r="D70" t="s">
        <v>295</v>
      </c>
      <c r="E70" t="s">
        <v>14</v>
      </c>
      <c r="F70" s="2">
        <v>21</v>
      </c>
      <c r="G70" t="s">
        <v>345</v>
      </c>
      <c r="H70">
        <v>150</v>
      </c>
      <c r="I70">
        <v>38</v>
      </c>
      <c r="J70">
        <v>5699.9999999999991</v>
      </c>
      <c r="K70" t="s">
        <v>21</v>
      </c>
      <c r="L70" t="s">
        <v>105</v>
      </c>
    </row>
    <row r="71" spans="2:12" x14ac:dyDescent="0.25">
      <c r="B71" s="1">
        <v>10539</v>
      </c>
      <c r="C71" s="6">
        <v>45101</v>
      </c>
      <c r="D71" t="s">
        <v>296</v>
      </c>
      <c r="E71" t="s">
        <v>14</v>
      </c>
      <c r="F71" s="2">
        <v>55</v>
      </c>
      <c r="G71" t="s">
        <v>343</v>
      </c>
      <c r="H71">
        <v>320</v>
      </c>
      <c r="I71">
        <v>38</v>
      </c>
      <c r="J71">
        <v>12159.999999999998</v>
      </c>
      <c r="K71" t="s">
        <v>16</v>
      </c>
      <c r="L71" t="s">
        <v>25</v>
      </c>
    </row>
    <row r="72" spans="2:12" x14ac:dyDescent="0.25">
      <c r="B72" s="1">
        <v>10544</v>
      </c>
      <c r="C72" s="6">
        <v>45102</v>
      </c>
      <c r="D72" t="s">
        <v>297</v>
      </c>
      <c r="E72" t="s">
        <v>14</v>
      </c>
      <c r="F72" s="2">
        <v>43</v>
      </c>
      <c r="G72" t="s">
        <v>323</v>
      </c>
      <c r="H72">
        <v>150</v>
      </c>
      <c r="I72">
        <v>38</v>
      </c>
      <c r="J72">
        <v>5699.9999999999991</v>
      </c>
      <c r="K72" t="s">
        <v>16</v>
      </c>
      <c r="L72" t="s">
        <v>128</v>
      </c>
    </row>
    <row r="73" spans="2:12" x14ac:dyDescent="0.25">
      <c r="B73" s="1">
        <v>10549</v>
      </c>
      <c r="C73" s="6">
        <v>45103</v>
      </c>
      <c r="D73" t="s">
        <v>298</v>
      </c>
      <c r="E73" t="s">
        <v>34</v>
      </c>
      <c r="F73" s="2">
        <v>52</v>
      </c>
      <c r="G73" t="s">
        <v>344</v>
      </c>
      <c r="H73">
        <v>400</v>
      </c>
      <c r="I73">
        <v>38</v>
      </c>
      <c r="J73">
        <v>15199.999999999996</v>
      </c>
      <c r="K73" t="s">
        <v>16</v>
      </c>
      <c r="L73" t="s">
        <v>128</v>
      </c>
    </row>
    <row r="74" spans="2:12" x14ac:dyDescent="0.25">
      <c r="B74" s="1">
        <v>10472</v>
      </c>
      <c r="C74" s="6">
        <v>45088</v>
      </c>
      <c r="D74" t="s">
        <v>299</v>
      </c>
      <c r="E74" t="s">
        <v>34</v>
      </c>
      <c r="F74" s="2">
        <v>38</v>
      </c>
      <c r="G74" t="s">
        <v>344</v>
      </c>
      <c r="H74">
        <v>320</v>
      </c>
      <c r="I74">
        <v>35</v>
      </c>
      <c r="J74">
        <v>11200</v>
      </c>
      <c r="K74" t="s">
        <v>16</v>
      </c>
      <c r="L74" t="s">
        <v>25</v>
      </c>
    </row>
    <row r="75" spans="2:12" x14ac:dyDescent="0.25">
      <c r="B75" s="1">
        <v>10499</v>
      </c>
      <c r="C75" s="6">
        <v>45093</v>
      </c>
      <c r="D75" t="s">
        <v>300</v>
      </c>
      <c r="E75" t="s">
        <v>34</v>
      </c>
      <c r="F75" s="2">
        <v>39</v>
      </c>
      <c r="G75" t="s">
        <v>344</v>
      </c>
      <c r="H75">
        <v>150</v>
      </c>
      <c r="I75">
        <v>33</v>
      </c>
      <c r="J75">
        <v>4950</v>
      </c>
      <c r="K75" t="s">
        <v>16</v>
      </c>
      <c r="L75" t="s">
        <v>25</v>
      </c>
    </row>
    <row r="76" spans="2:12" x14ac:dyDescent="0.25">
      <c r="B76" s="1">
        <v>10455</v>
      </c>
      <c r="C76" s="6">
        <v>45085</v>
      </c>
      <c r="D76" t="s">
        <v>301</v>
      </c>
      <c r="E76" t="s">
        <v>14</v>
      </c>
      <c r="F76" s="2">
        <v>31</v>
      </c>
      <c r="G76" t="s">
        <v>343</v>
      </c>
      <c r="H76">
        <v>400</v>
      </c>
      <c r="I76">
        <v>28</v>
      </c>
      <c r="J76">
        <v>11200</v>
      </c>
      <c r="K76" t="s">
        <v>16</v>
      </c>
      <c r="L76" t="s">
        <v>81</v>
      </c>
    </row>
    <row r="77" spans="2:12" x14ac:dyDescent="0.25">
      <c r="B77" s="1">
        <v>10522</v>
      </c>
      <c r="C77" s="6">
        <v>45098</v>
      </c>
      <c r="D77" t="s">
        <v>302</v>
      </c>
      <c r="E77" t="s">
        <v>14</v>
      </c>
      <c r="F77" s="2">
        <v>26</v>
      </c>
      <c r="G77" t="s">
        <v>328</v>
      </c>
      <c r="H77">
        <v>320</v>
      </c>
      <c r="I77">
        <v>27</v>
      </c>
      <c r="J77">
        <v>8640</v>
      </c>
      <c r="K77" t="s">
        <v>21</v>
      </c>
      <c r="L77" t="s">
        <v>100</v>
      </c>
    </row>
    <row r="78" spans="2:12" x14ac:dyDescent="0.25">
      <c r="B78" s="1">
        <v>10452</v>
      </c>
      <c r="C78" s="6">
        <v>45084</v>
      </c>
      <c r="D78" t="s">
        <v>303</v>
      </c>
      <c r="E78" t="s">
        <v>34</v>
      </c>
      <c r="F78" s="2">
        <v>23</v>
      </c>
      <c r="G78" t="s">
        <v>343</v>
      </c>
      <c r="H78">
        <v>150</v>
      </c>
      <c r="I78">
        <v>25</v>
      </c>
      <c r="J78">
        <v>3750</v>
      </c>
      <c r="K78" t="s">
        <v>44</v>
      </c>
      <c r="L78" t="s">
        <v>128</v>
      </c>
    </row>
    <row r="79" spans="2:12" x14ac:dyDescent="0.25">
      <c r="B79" s="1">
        <v>10457</v>
      </c>
      <c r="C79" s="6">
        <v>45085</v>
      </c>
      <c r="D79" t="s">
        <v>304</v>
      </c>
      <c r="E79" t="s">
        <v>34</v>
      </c>
      <c r="F79" s="2">
        <v>36</v>
      </c>
      <c r="G79" t="s">
        <v>344</v>
      </c>
      <c r="H79">
        <v>250</v>
      </c>
      <c r="I79">
        <v>25</v>
      </c>
      <c r="J79">
        <v>6250</v>
      </c>
      <c r="K79" t="s">
        <v>16</v>
      </c>
      <c r="L79" t="s">
        <v>100</v>
      </c>
    </row>
    <row r="80" spans="2:12" x14ac:dyDescent="0.25">
      <c r="B80" s="1">
        <v>10460</v>
      </c>
      <c r="C80" s="6">
        <v>45086</v>
      </c>
      <c r="D80" t="s">
        <v>305</v>
      </c>
      <c r="E80" t="s">
        <v>14</v>
      </c>
      <c r="F80" s="2">
        <v>20</v>
      </c>
      <c r="G80" t="s">
        <v>328</v>
      </c>
      <c r="H80">
        <v>320</v>
      </c>
      <c r="I80">
        <v>25</v>
      </c>
      <c r="J80">
        <v>8000</v>
      </c>
      <c r="K80" t="s">
        <v>16</v>
      </c>
      <c r="L80" t="s">
        <v>100</v>
      </c>
    </row>
    <row r="81" spans="2:12" x14ac:dyDescent="0.25">
      <c r="B81" s="1">
        <v>10462</v>
      </c>
      <c r="C81" s="6">
        <v>45086</v>
      </c>
      <c r="D81" t="s">
        <v>306</v>
      </c>
      <c r="E81" t="s">
        <v>34</v>
      </c>
      <c r="F81" s="2">
        <v>28</v>
      </c>
      <c r="G81" t="s">
        <v>325</v>
      </c>
      <c r="H81">
        <v>400</v>
      </c>
      <c r="I81">
        <v>25</v>
      </c>
      <c r="J81">
        <v>10000</v>
      </c>
      <c r="K81" t="s">
        <v>16</v>
      </c>
      <c r="L81" t="s">
        <v>100</v>
      </c>
    </row>
    <row r="82" spans="2:12" x14ac:dyDescent="0.25">
      <c r="B82" s="1">
        <v>10464</v>
      </c>
      <c r="C82" s="6">
        <v>45086</v>
      </c>
      <c r="D82" t="s">
        <v>307</v>
      </c>
      <c r="E82" t="s">
        <v>34</v>
      </c>
      <c r="F82" s="2">
        <v>32</v>
      </c>
      <c r="G82" t="s">
        <v>325</v>
      </c>
      <c r="H82">
        <v>320</v>
      </c>
      <c r="I82">
        <v>25</v>
      </c>
      <c r="J82">
        <v>8000</v>
      </c>
      <c r="K82" t="s">
        <v>16</v>
      </c>
      <c r="L82" t="s">
        <v>100</v>
      </c>
    </row>
    <row r="83" spans="2:12" x14ac:dyDescent="0.25">
      <c r="B83" s="1">
        <v>10454</v>
      </c>
      <c r="C83" s="6">
        <v>45084</v>
      </c>
      <c r="D83" t="s">
        <v>308</v>
      </c>
      <c r="E83" t="s">
        <v>14</v>
      </c>
      <c r="F83" s="2">
        <v>30</v>
      </c>
      <c r="G83" t="s">
        <v>343</v>
      </c>
      <c r="H83">
        <v>250</v>
      </c>
      <c r="I83">
        <v>25</v>
      </c>
      <c r="J83">
        <v>6250</v>
      </c>
      <c r="K83" t="s">
        <v>44</v>
      </c>
      <c r="L83" t="s">
        <v>105</v>
      </c>
    </row>
    <row r="84" spans="2:12" x14ac:dyDescent="0.25">
      <c r="B84" s="1">
        <v>10471</v>
      </c>
      <c r="C84" s="6">
        <v>45088</v>
      </c>
      <c r="D84" t="s">
        <v>309</v>
      </c>
      <c r="E84" t="s">
        <v>14</v>
      </c>
      <c r="F84" s="2">
        <v>23</v>
      </c>
      <c r="G84" t="s">
        <v>322</v>
      </c>
      <c r="H84">
        <v>150</v>
      </c>
      <c r="I84">
        <v>25</v>
      </c>
      <c r="J84">
        <v>3750</v>
      </c>
      <c r="K84" t="s">
        <v>16</v>
      </c>
      <c r="L84" t="s">
        <v>25</v>
      </c>
    </row>
    <row r="85" spans="2:12" x14ac:dyDescent="0.25">
      <c r="B85" s="1">
        <v>10482</v>
      </c>
      <c r="C85" s="6">
        <v>45090</v>
      </c>
      <c r="D85" t="s">
        <v>310</v>
      </c>
      <c r="E85" t="s">
        <v>34</v>
      </c>
      <c r="F85" s="2">
        <v>24</v>
      </c>
      <c r="G85" t="s">
        <v>328</v>
      </c>
      <c r="H85">
        <v>250</v>
      </c>
      <c r="I85">
        <v>25</v>
      </c>
      <c r="J85">
        <v>6250</v>
      </c>
      <c r="K85" t="s">
        <v>16</v>
      </c>
      <c r="L85" t="s">
        <v>105</v>
      </c>
    </row>
    <row r="86" spans="2:12" x14ac:dyDescent="0.25">
      <c r="B86" s="1">
        <v>10483</v>
      </c>
      <c r="C86" s="6">
        <v>45090</v>
      </c>
      <c r="D86" t="s">
        <v>311</v>
      </c>
      <c r="E86" t="s">
        <v>34</v>
      </c>
      <c r="F86" s="2">
        <v>20</v>
      </c>
      <c r="G86" t="s">
        <v>325</v>
      </c>
      <c r="H86">
        <v>320</v>
      </c>
      <c r="I86">
        <v>25</v>
      </c>
      <c r="J86">
        <v>8000</v>
      </c>
      <c r="K86" t="s">
        <v>16</v>
      </c>
      <c r="L86" t="s">
        <v>105</v>
      </c>
    </row>
    <row r="87" spans="2:12" x14ac:dyDescent="0.25">
      <c r="B87" s="1">
        <v>10492</v>
      </c>
      <c r="C87" s="6">
        <v>45092</v>
      </c>
      <c r="D87" t="s">
        <v>312</v>
      </c>
      <c r="E87" t="s">
        <v>34</v>
      </c>
      <c r="F87" s="2">
        <v>38</v>
      </c>
      <c r="G87" t="s">
        <v>329</v>
      </c>
      <c r="H87">
        <v>150</v>
      </c>
      <c r="I87">
        <v>25</v>
      </c>
      <c r="J87">
        <v>3750</v>
      </c>
      <c r="K87" t="s">
        <v>16</v>
      </c>
      <c r="L87" t="s">
        <v>25</v>
      </c>
    </row>
    <row r="88" spans="2:12" x14ac:dyDescent="0.25">
      <c r="B88" s="1">
        <v>10493</v>
      </c>
      <c r="C88" s="6">
        <v>45092</v>
      </c>
      <c r="D88" t="s">
        <v>313</v>
      </c>
      <c r="E88" t="s">
        <v>34</v>
      </c>
      <c r="F88" s="2">
        <v>36</v>
      </c>
      <c r="G88" t="s">
        <v>344</v>
      </c>
      <c r="H88">
        <v>150</v>
      </c>
      <c r="I88">
        <v>25</v>
      </c>
      <c r="J88">
        <v>3750</v>
      </c>
      <c r="K88" t="s">
        <v>16</v>
      </c>
      <c r="L88" t="s">
        <v>25</v>
      </c>
    </row>
    <row r="89" spans="2:12" x14ac:dyDescent="0.25">
      <c r="B89" s="1">
        <v>10497</v>
      </c>
      <c r="C89" s="6">
        <v>45093</v>
      </c>
      <c r="D89" t="s">
        <v>314</v>
      </c>
      <c r="E89" t="s">
        <v>34</v>
      </c>
      <c r="F89" s="2">
        <v>31</v>
      </c>
      <c r="G89" t="s">
        <v>344</v>
      </c>
      <c r="H89">
        <v>320</v>
      </c>
      <c r="I89">
        <v>25</v>
      </c>
      <c r="J89">
        <v>8000</v>
      </c>
      <c r="K89" t="s">
        <v>16</v>
      </c>
      <c r="L89" t="s">
        <v>25</v>
      </c>
    </row>
    <row r="90" spans="2:12" x14ac:dyDescent="0.25">
      <c r="B90" s="1">
        <v>10503</v>
      </c>
      <c r="C90" s="6">
        <v>45094</v>
      </c>
      <c r="D90" t="s">
        <v>315</v>
      </c>
      <c r="E90" t="s">
        <v>34</v>
      </c>
      <c r="F90" s="2">
        <v>33</v>
      </c>
      <c r="G90" t="s">
        <v>322</v>
      </c>
      <c r="H90">
        <v>320</v>
      </c>
      <c r="I90">
        <v>25</v>
      </c>
      <c r="J90">
        <v>8000</v>
      </c>
      <c r="K90" t="s">
        <v>16</v>
      </c>
      <c r="L90" t="s">
        <v>25</v>
      </c>
    </row>
    <row r="91" spans="2:12" x14ac:dyDescent="0.25">
      <c r="B91" s="1">
        <v>10511</v>
      </c>
      <c r="C91" s="6">
        <v>45096</v>
      </c>
      <c r="D91" t="s">
        <v>316</v>
      </c>
      <c r="E91" t="s">
        <v>14</v>
      </c>
      <c r="F91" s="2">
        <v>22</v>
      </c>
      <c r="G91" t="s">
        <v>345</v>
      </c>
      <c r="H91">
        <v>150</v>
      </c>
      <c r="I91">
        <v>25</v>
      </c>
      <c r="J91">
        <v>3750</v>
      </c>
      <c r="K91" t="s">
        <v>16</v>
      </c>
      <c r="L91" t="s">
        <v>105</v>
      </c>
    </row>
    <row r="92" spans="2:12" x14ac:dyDescent="0.25">
      <c r="B92" s="1">
        <v>10521</v>
      </c>
      <c r="C92" s="6">
        <v>45098</v>
      </c>
      <c r="D92" t="s">
        <v>317</v>
      </c>
      <c r="E92" t="s">
        <v>14</v>
      </c>
      <c r="F92" s="2">
        <v>26</v>
      </c>
      <c r="G92" t="s">
        <v>328</v>
      </c>
      <c r="H92">
        <v>400</v>
      </c>
      <c r="I92">
        <v>25</v>
      </c>
      <c r="J92">
        <v>10000</v>
      </c>
      <c r="K92" t="s">
        <v>21</v>
      </c>
      <c r="L92" t="s">
        <v>100</v>
      </c>
    </row>
    <row r="93" spans="2:12" x14ac:dyDescent="0.25">
      <c r="B93" s="1">
        <v>10530</v>
      </c>
      <c r="C93" s="6">
        <v>45100</v>
      </c>
      <c r="D93" t="s">
        <v>318</v>
      </c>
      <c r="E93" t="s">
        <v>14</v>
      </c>
      <c r="F93" s="2">
        <v>26</v>
      </c>
      <c r="G93" t="s">
        <v>323</v>
      </c>
      <c r="H93">
        <v>320</v>
      </c>
      <c r="I93">
        <v>24</v>
      </c>
      <c r="J93">
        <v>7539.2</v>
      </c>
      <c r="K93" t="s">
        <v>21</v>
      </c>
      <c r="L93" t="s">
        <v>100</v>
      </c>
    </row>
    <row r="94" spans="2:12" x14ac:dyDescent="0.25">
      <c r="B94" s="1">
        <v>10540</v>
      </c>
      <c r="C94" s="6">
        <v>45102</v>
      </c>
      <c r="D94" t="s">
        <v>319</v>
      </c>
      <c r="E94" t="s">
        <v>14</v>
      </c>
      <c r="F94" s="2">
        <v>62</v>
      </c>
      <c r="G94" t="s">
        <v>323</v>
      </c>
      <c r="H94">
        <v>250</v>
      </c>
      <c r="I94">
        <v>24</v>
      </c>
      <c r="J94">
        <v>5890</v>
      </c>
      <c r="K94" t="s">
        <v>16</v>
      </c>
      <c r="L94" t="s">
        <v>25</v>
      </c>
    </row>
    <row r="95" spans="2:12" x14ac:dyDescent="0.25">
      <c r="B95" s="1">
        <v>10520</v>
      </c>
      <c r="C95" s="6">
        <v>45098</v>
      </c>
      <c r="D95" t="s">
        <v>320</v>
      </c>
      <c r="E95" t="s">
        <v>14</v>
      </c>
      <c r="F95" s="2">
        <v>26</v>
      </c>
      <c r="G95" t="s">
        <v>328</v>
      </c>
      <c r="H95">
        <v>400</v>
      </c>
      <c r="I95">
        <v>23</v>
      </c>
      <c r="J95">
        <v>9200</v>
      </c>
      <c r="K95" t="s">
        <v>21</v>
      </c>
      <c r="L95" t="s">
        <v>100</v>
      </c>
    </row>
    <row r="96" spans="2:12" x14ac:dyDescent="0.25">
      <c r="B96" s="1">
        <v>10545</v>
      </c>
      <c r="C96" s="6">
        <v>45103</v>
      </c>
      <c r="D96" t="s">
        <v>321</v>
      </c>
      <c r="E96" t="s">
        <v>14</v>
      </c>
      <c r="F96" s="2">
        <v>20</v>
      </c>
      <c r="G96" t="s">
        <v>328</v>
      </c>
      <c r="H96">
        <v>400</v>
      </c>
      <c r="I96">
        <v>23</v>
      </c>
      <c r="J96">
        <v>8816</v>
      </c>
      <c r="K96" t="s">
        <v>16</v>
      </c>
      <c r="L96" t="s">
        <v>128</v>
      </c>
    </row>
    <row r="97" spans="2:12" x14ac:dyDescent="0.25">
      <c r="B97" s="1">
        <v>10489</v>
      </c>
      <c r="C97" s="6">
        <v>45091</v>
      </c>
      <c r="D97" t="s">
        <v>307</v>
      </c>
      <c r="E97" t="s">
        <v>34</v>
      </c>
      <c r="F97" s="2">
        <v>36</v>
      </c>
      <c r="G97" t="s">
        <v>325</v>
      </c>
      <c r="H97">
        <v>320</v>
      </c>
      <c r="I97">
        <v>20</v>
      </c>
      <c r="J97">
        <v>6400</v>
      </c>
      <c r="K97" t="s">
        <v>16</v>
      </c>
      <c r="L97" t="s">
        <v>25</v>
      </c>
    </row>
    <row r="98" spans="2:12" x14ac:dyDescent="0.25">
      <c r="B98" s="1">
        <v>10454</v>
      </c>
      <c r="C98" s="6">
        <v>45084</v>
      </c>
      <c r="D98" t="s">
        <v>307</v>
      </c>
      <c r="E98" t="s">
        <v>14</v>
      </c>
      <c r="F98" s="2">
        <v>30</v>
      </c>
      <c r="G98" t="s">
        <v>343</v>
      </c>
      <c r="H98">
        <v>150</v>
      </c>
      <c r="I98">
        <v>15</v>
      </c>
      <c r="J98">
        <v>2250</v>
      </c>
      <c r="K98" t="s">
        <v>44</v>
      </c>
      <c r="L98" t="s">
        <v>105</v>
      </c>
    </row>
    <row r="99" spans="2:12" x14ac:dyDescent="0.25">
      <c r="B99" s="1">
        <v>10454</v>
      </c>
      <c r="C99" s="6">
        <v>45084</v>
      </c>
      <c r="D99" t="s">
        <v>346</v>
      </c>
      <c r="E99" t="s">
        <v>14</v>
      </c>
      <c r="F99" s="2">
        <v>30</v>
      </c>
      <c r="G99" t="s">
        <v>343</v>
      </c>
      <c r="H99">
        <v>250</v>
      </c>
      <c r="I99">
        <v>10</v>
      </c>
      <c r="J99">
        <v>2500</v>
      </c>
      <c r="K99" t="s">
        <v>44</v>
      </c>
      <c r="L9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F19" sqref="F19"/>
    </sheetView>
  </sheetViews>
  <sheetFormatPr baseColWidth="10" defaultColWidth="8.7265625" defaultRowHeight="15" x14ac:dyDescent="0.25"/>
  <cols>
    <col min="1" max="1" width="9.453125" customWidth="1"/>
    <col min="2" max="2" width="12.36328125" customWidth="1"/>
    <col min="3" max="3" width="11.453125" customWidth="1"/>
    <col min="4" max="4" width="14.81640625" customWidth="1"/>
    <col min="6" max="6" width="9" customWidth="1"/>
    <col min="8" max="8" width="10" customWidth="1"/>
    <col min="9" max="9" width="20" customWidth="1"/>
    <col min="10" max="10" width="14.08984375" customWidth="1"/>
  </cols>
  <sheetData>
    <row r="1" spans="1:10" x14ac:dyDescent="0.25">
      <c r="A1" t="s">
        <v>0</v>
      </c>
      <c r="B1" t="s">
        <v>1</v>
      </c>
      <c r="C1" t="s">
        <v>330</v>
      </c>
      <c r="D1" t="s">
        <v>3</v>
      </c>
      <c r="E1" t="s">
        <v>331</v>
      </c>
      <c r="F1" t="s">
        <v>4</v>
      </c>
      <c r="G1" t="s">
        <v>333</v>
      </c>
      <c r="H1" t="s">
        <v>9</v>
      </c>
      <c r="I1" t="s">
        <v>332</v>
      </c>
      <c r="J1" t="s">
        <v>334</v>
      </c>
    </row>
    <row r="2" spans="1:10" x14ac:dyDescent="0.25">
      <c r="B2" s="9">
        <v>45102</v>
      </c>
      <c r="C2" t="s">
        <v>318</v>
      </c>
      <c r="D2" t="s">
        <v>14</v>
      </c>
      <c r="E2">
        <v>62</v>
      </c>
      <c r="F2" t="s">
        <v>323</v>
      </c>
      <c r="G2">
        <v>23.56</v>
      </c>
      <c r="H2">
        <v>5890</v>
      </c>
      <c r="I2" t="s">
        <v>16</v>
      </c>
      <c r="J2" t="s">
        <v>25</v>
      </c>
    </row>
    <row r="3" spans="1:10" x14ac:dyDescent="0.25">
      <c r="A3">
        <v>10534</v>
      </c>
      <c r="B3" s="9">
        <v>45100</v>
      </c>
      <c r="C3" t="s">
        <v>228</v>
      </c>
      <c r="D3" t="s">
        <v>14</v>
      </c>
      <c r="E3">
        <v>60</v>
      </c>
      <c r="F3" t="s">
        <v>323</v>
      </c>
      <c r="G3">
        <v>83.6</v>
      </c>
      <c r="H3">
        <v>33440</v>
      </c>
      <c r="I3" t="s">
        <v>21</v>
      </c>
      <c r="J3" t="s">
        <v>25</v>
      </c>
    </row>
    <row r="4" spans="1:10" x14ac:dyDescent="0.25">
      <c r="B4" s="9">
        <v>45100</v>
      </c>
      <c r="C4" t="s">
        <v>317</v>
      </c>
      <c r="D4" t="s">
        <v>14</v>
      </c>
      <c r="E4">
        <v>26</v>
      </c>
      <c r="F4" t="s">
        <v>323</v>
      </c>
      <c r="G4">
        <v>23.56</v>
      </c>
      <c r="H4">
        <v>7539.2</v>
      </c>
      <c r="I4" t="s">
        <v>21</v>
      </c>
      <c r="J4" t="s">
        <v>100</v>
      </c>
    </row>
    <row r="5" spans="1:10" x14ac:dyDescent="0.25">
      <c r="A5">
        <v>10499</v>
      </c>
      <c r="B5" s="9">
        <v>45102</v>
      </c>
      <c r="C5" t="s">
        <v>296</v>
      </c>
      <c r="D5" t="s">
        <v>14</v>
      </c>
      <c r="E5">
        <v>43</v>
      </c>
      <c r="F5" t="s">
        <v>323</v>
      </c>
      <c r="G5">
        <v>37.999999999999993</v>
      </c>
      <c r="H5">
        <v>5699.9999999999991</v>
      </c>
      <c r="I5" t="s">
        <v>16</v>
      </c>
      <c r="J5" t="s">
        <v>128</v>
      </c>
    </row>
    <row r="6" spans="1:10" x14ac:dyDescent="0.25">
      <c r="A6">
        <v>10542</v>
      </c>
      <c r="B6" s="9">
        <v>45102</v>
      </c>
      <c r="C6" t="s">
        <v>231</v>
      </c>
      <c r="D6" t="s">
        <v>14</v>
      </c>
      <c r="E6">
        <v>42</v>
      </c>
      <c r="F6" t="s">
        <v>323</v>
      </c>
      <c r="G6">
        <v>83.6</v>
      </c>
      <c r="H6">
        <v>33440</v>
      </c>
      <c r="I6" t="s">
        <v>16</v>
      </c>
      <c r="J6" t="s">
        <v>128</v>
      </c>
    </row>
    <row r="7" spans="1:10" x14ac:dyDescent="0.25">
      <c r="A7">
        <v>10508</v>
      </c>
      <c r="B7" s="9">
        <v>45099</v>
      </c>
      <c r="C7" t="s">
        <v>285</v>
      </c>
      <c r="D7" t="s">
        <v>14</v>
      </c>
      <c r="E7">
        <v>24</v>
      </c>
      <c r="F7" t="s">
        <v>323</v>
      </c>
      <c r="G7">
        <v>39.799999999999997</v>
      </c>
      <c r="H7">
        <v>15919.999999999998</v>
      </c>
      <c r="I7" t="s">
        <v>21</v>
      </c>
      <c r="J7" t="s">
        <v>100</v>
      </c>
    </row>
    <row r="8" spans="1:10" x14ac:dyDescent="0.25">
      <c r="A8">
        <v>10498</v>
      </c>
      <c r="B8" s="9">
        <v>45099</v>
      </c>
      <c r="C8" t="s">
        <v>277</v>
      </c>
      <c r="D8" t="s">
        <v>14</v>
      </c>
      <c r="E8">
        <v>49</v>
      </c>
      <c r="F8" t="s">
        <v>323</v>
      </c>
      <c r="G8">
        <v>45</v>
      </c>
      <c r="H8">
        <v>6750</v>
      </c>
      <c r="I8" t="s">
        <v>21</v>
      </c>
      <c r="J8" t="s">
        <v>100</v>
      </c>
    </row>
    <row r="9" spans="1:10" x14ac:dyDescent="0.25">
      <c r="A9">
        <v>10496</v>
      </c>
      <c r="B9" s="9">
        <v>45099</v>
      </c>
      <c r="C9" t="s">
        <v>276</v>
      </c>
      <c r="D9" t="s">
        <v>14</v>
      </c>
      <c r="E9">
        <v>33</v>
      </c>
      <c r="F9" t="s">
        <v>323</v>
      </c>
      <c r="G9">
        <v>45</v>
      </c>
      <c r="H9">
        <v>18000</v>
      </c>
      <c r="I9" t="s">
        <v>21</v>
      </c>
      <c r="J9" t="s">
        <v>100</v>
      </c>
    </row>
    <row r="10" spans="1:10" x14ac:dyDescent="0.25">
      <c r="A10">
        <v>10528</v>
      </c>
      <c r="B10" s="9">
        <v>45100</v>
      </c>
      <c r="C10" t="s">
        <v>275</v>
      </c>
      <c r="D10" t="s">
        <v>14</v>
      </c>
      <c r="E10">
        <v>37</v>
      </c>
      <c r="F10" t="s">
        <v>323</v>
      </c>
      <c r="G10">
        <v>45.6</v>
      </c>
      <c r="H10">
        <v>18240</v>
      </c>
      <c r="I10" t="s">
        <v>21</v>
      </c>
      <c r="J10" t="s">
        <v>105</v>
      </c>
    </row>
    <row r="11" spans="1:10" x14ac:dyDescent="0.25">
      <c r="A11">
        <v>10527</v>
      </c>
      <c r="B11" s="9">
        <v>45100</v>
      </c>
      <c r="C11" t="s">
        <v>274</v>
      </c>
      <c r="D11" t="s">
        <v>14</v>
      </c>
      <c r="E11">
        <v>28</v>
      </c>
      <c r="F11" t="s">
        <v>323</v>
      </c>
      <c r="G11">
        <v>45.6</v>
      </c>
      <c r="H11">
        <v>18240</v>
      </c>
      <c r="I11" t="s">
        <v>21</v>
      </c>
      <c r="J11" t="s">
        <v>105</v>
      </c>
    </row>
    <row r="12" spans="1:10" x14ac:dyDescent="0.25">
      <c r="A12">
        <v>10476</v>
      </c>
      <c r="B12" s="9">
        <v>45099</v>
      </c>
      <c r="C12" t="s">
        <v>258</v>
      </c>
      <c r="D12" t="s">
        <v>14</v>
      </c>
      <c r="E12">
        <v>62</v>
      </c>
      <c r="F12" t="s">
        <v>323</v>
      </c>
      <c r="G12">
        <v>73.98</v>
      </c>
      <c r="H12">
        <v>23673.600000000002</v>
      </c>
      <c r="I12" t="s">
        <v>21</v>
      </c>
      <c r="J12" t="s">
        <v>100</v>
      </c>
    </row>
    <row r="13" spans="1:10" x14ac:dyDescent="0.25">
      <c r="A13">
        <v>10541</v>
      </c>
      <c r="B13" s="9">
        <v>45102</v>
      </c>
      <c r="C13" t="s">
        <v>246</v>
      </c>
      <c r="D13" t="s">
        <v>14</v>
      </c>
      <c r="E13">
        <v>68</v>
      </c>
      <c r="F13" t="s">
        <v>323</v>
      </c>
      <c r="G13">
        <v>76.000000000000014</v>
      </c>
      <c r="H13">
        <v>24320.000000000004</v>
      </c>
      <c r="I13" t="s">
        <v>16</v>
      </c>
      <c r="J13" t="s">
        <v>128</v>
      </c>
    </row>
    <row r="14" spans="1:10" x14ac:dyDescent="0.25">
      <c r="A14">
        <v>10531</v>
      </c>
      <c r="B14" s="9">
        <v>45100</v>
      </c>
      <c r="C14" t="s">
        <v>244</v>
      </c>
      <c r="D14" t="s">
        <v>14</v>
      </c>
      <c r="E14">
        <v>53</v>
      </c>
      <c r="F14" t="s">
        <v>323</v>
      </c>
      <c r="G14">
        <v>76.000000000000014</v>
      </c>
      <c r="H14">
        <v>30400.000000000007</v>
      </c>
      <c r="I14" t="s">
        <v>21</v>
      </c>
      <c r="J14" t="s">
        <v>100</v>
      </c>
    </row>
    <row r="15" spans="1:10" x14ac:dyDescent="0.25">
      <c r="A15">
        <v>10535</v>
      </c>
      <c r="B15" s="9">
        <v>45101</v>
      </c>
      <c r="C15" t="s">
        <v>241</v>
      </c>
      <c r="D15" t="s">
        <v>14</v>
      </c>
      <c r="E15">
        <v>44</v>
      </c>
      <c r="F15" t="s">
        <v>323</v>
      </c>
      <c r="G15">
        <v>79.599999999999994</v>
      </c>
      <c r="H15">
        <v>31839.999999999996</v>
      </c>
      <c r="I15" t="s">
        <v>16</v>
      </c>
      <c r="J15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E21" sqref="E21"/>
    </sheetView>
  </sheetViews>
  <sheetFormatPr baseColWidth="10" defaultColWidth="8.7265625" defaultRowHeight="15" x14ac:dyDescent="0.25"/>
  <cols>
    <col min="1" max="1" width="9.453125" customWidth="1"/>
    <col min="2" max="2" width="12.90625" customWidth="1"/>
    <col min="3" max="3" width="11.453125" customWidth="1"/>
    <col min="6" max="6" width="9" customWidth="1"/>
    <col min="8" max="8" width="10" customWidth="1"/>
    <col min="9" max="9" width="20" customWidth="1"/>
    <col min="10" max="10" width="14.08984375" customWidth="1"/>
  </cols>
  <sheetData>
    <row r="1" spans="1:10" x14ac:dyDescent="0.25">
      <c r="A1" t="s">
        <v>0</v>
      </c>
      <c r="B1" t="s">
        <v>1</v>
      </c>
      <c r="C1" t="s">
        <v>330</v>
      </c>
      <c r="D1" t="s">
        <v>3</v>
      </c>
      <c r="E1" t="s">
        <v>331</v>
      </c>
      <c r="F1" t="s">
        <v>4</v>
      </c>
      <c r="G1" t="s">
        <v>333</v>
      </c>
      <c r="H1" t="s">
        <v>9</v>
      </c>
      <c r="I1" t="s">
        <v>332</v>
      </c>
      <c r="J1" t="s">
        <v>334</v>
      </c>
    </row>
    <row r="2" spans="1:10" x14ac:dyDescent="0.25">
      <c r="B2" s="9">
        <v>45091</v>
      </c>
      <c r="C2" t="s">
        <v>321</v>
      </c>
      <c r="D2" t="s">
        <v>34</v>
      </c>
      <c r="E2">
        <v>36</v>
      </c>
      <c r="F2" t="s">
        <v>325</v>
      </c>
      <c r="G2">
        <v>20</v>
      </c>
      <c r="H2">
        <v>6400</v>
      </c>
      <c r="I2" t="s">
        <v>16</v>
      </c>
      <c r="J2" t="s">
        <v>25</v>
      </c>
    </row>
    <row r="3" spans="1:10" x14ac:dyDescent="0.25">
      <c r="A3">
        <v>10511</v>
      </c>
      <c r="B3" s="9">
        <v>45090</v>
      </c>
      <c r="C3" t="s">
        <v>310</v>
      </c>
      <c r="D3" t="s">
        <v>34</v>
      </c>
      <c r="E3">
        <v>20</v>
      </c>
      <c r="F3" t="s">
        <v>325</v>
      </c>
      <c r="G3">
        <v>25</v>
      </c>
      <c r="H3">
        <v>8000</v>
      </c>
      <c r="I3" t="s">
        <v>16</v>
      </c>
      <c r="J3" t="s">
        <v>105</v>
      </c>
    </row>
    <row r="4" spans="1:10" x14ac:dyDescent="0.25">
      <c r="A4">
        <v>10492</v>
      </c>
      <c r="B4" s="9">
        <v>45086</v>
      </c>
      <c r="C4" t="s">
        <v>306</v>
      </c>
      <c r="D4" t="s">
        <v>34</v>
      </c>
      <c r="E4">
        <v>32</v>
      </c>
      <c r="F4" t="s">
        <v>325</v>
      </c>
      <c r="G4">
        <v>25</v>
      </c>
      <c r="H4">
        <v>8000</v>
      </c>
      <c r="I4" t="s">
        <v>16</v>
      </c>
      <c r="J4" t="s">
        <v>100</v>
      </c>
    </row>
    <row r="5" spans="1:10" x14ac:dyDescent="0.25">
      <c r="A5">
        <v>10482</v>
      </c>
      <c r="B5" s="9">
        <v>45086</v>
      </c>
      <c r="C5" t="s">
        <v>305</v>
      </c>
      <c r="D5" t="s">
        <v>34</v>
      </c>
      <c r="E5">
        <v>28</v>
      </c>
      <c r="F5" t="s">
        <v>325</v>
      </c>
      <c r="G5">
        <v>25</v>
      </c>
      <c r="H5">
        <v>10000</v>
      </c>
      <c r="I5" t="s">
        <v>16</v>
      </c>
      <c r="J5" t="s">
        <v>100</v>
      </c>
    </row>
    <row r="6" spans="1:10" x14ac:dyDescent="0.25">
      <c r="A6">
        <v>10514</v>
      </c>
      <c r="B6" s="9">
        <v>45085</v>
      </c>
      <c r="C6" t="s">
        <v>291</v>
      </c>
      <c r="D6" t="s">
        <v>14</v>
      </c>
      <c r="E6">
        <v>31</v>
      </c>
      <c r="F6" t="s">
        <v>325</v>
      </c>
      <c r="G6">
        <v>37.999999999999993</v>
      </c>
      <c r="H6">
        <v>5699.9999999999991</v>
      </c>
      <c r="I6" t="s">
        <v>16</v>
      </c>
      <c r="J6" t="s">
        <v>81</v>
      </c>
    </row>
    <row r="7" spans="1:10" x14ac:dyDescent="0.25">
      <c r="A7">
        <v>10484</v>
      </c>
      <c r="B7" s="9">
        <v>45090</v>
      </c>
      <c r="C7" t="s">
        <v>268</v>
      </c>
      <c r="D7" t="s">
        <v>34</v>
      </c>
      <c r="E7">
        <v>52</v>
      </c>
      <c r="F7" t="s">
        <v>325</v>
      </c>
      <c r="G7">
        <v>60</v>
      </c>
      <c r="H7">
        <v>15000</v>
      </c>
      <c r="I7" t="s">
        <v>16</v>
      </c>
      <c r="J7" t="s">
        <v>25</v>
      </c>
    </row>
    <row r="8" spans="1:10" x14ac:dyDescent="0.25">
      <c r="A8">
        <v>10515</v>
      </c>
      <c r="B8" s="9">
        <v>45094</v>
      </c>
      <c r="C8" t="s">
        <v>262</v>
      </c>
      <c r="D8" t="s">
        <v>34</v>
      </c>
      <c r="E8">
        <v>54</v>
      </c>
      <c r="F8" t="s">
        <v>325</v>
      </c>
      <c r="G8">
        <v>67</v>
      </c>
      <c r="H8">
        <v>26800</v>
      </c>
      <c r="I8" t="s">
        <v>16</v>
      </c>
      <c r="J8" t="s">
        <v>25</v>
      </c>
    </row>
    <row r="9" spans="1:10" x14ac:dyDescent="0.25">
      <c r="A9">
        <v>10453</v>
      </c>
      <c r="B9" s="9">
        <v>45084</v>
      </c>
      <c r="C9" t="s">
        <v>234</v>
      </c>
      <c r="D9" t="s">
        <v>34</v>
      </c>
      <c r="E9">
        <v>50</v>
      </c>
      <c r="F9" t="s">
        <v>325</v>
      </c>
      <c r="G9">
        <v>80</v>
      </c>
      <c r="H9">
        <v>20000</v>
      </c>
      <c r="I9" t="s">
        <v>44</v>
      </c>
      <c r="J9" t="s">
        <v>25</v>
      </c>
    </row>
    <row r="10" spans="1:10" x14ac:dyDescent="0.25">
      <c r="A10">
        <v>10510</v>
      </c>
      <c r="B10" s="9">
        <v>45090</v>
      </c>
      <c r="C10" t="s">
        <v>256</v>
      </c>
      <c r="D10" t="s">
        <v>34</v>
      </c>
      <c r="E10">
        <v>67</v>
      </c>
      <c r="F10" t="s">
        <v>325</v>
      </c>
      <c r="G10">
        <v>75</v>
      </c>
      <c r="H10">
        <v>30000</v>
      </c>
      <c r="I10" t="s">
        <v>16</v>
      </c>
      <c r="J10" t="s">
        <v>25</v>
      </c>
    </row>
    <row r="11" spans="1:10" x14ac:dyDescent="0.25">
      <c r="A11">
        <v>10481</v>
      </c>
      <c r="B11" s="9">
        <v>45090</v>
      </c>
      <c r="C11" t="s">
        <v>256</v>
      </c>
      <c r="D11" t="s">
        <v>34</v>
      </c>
      <c r="E11">
        <v>67</v>
      </c>
      <c r="F11" t="s">
        <v>325</v>
      </c>
      <c r="G11">
        <v>75</v>
      </c>
      <c r="H11">
        <v>18750</v>
      </c>
      <c r="I11" t="s">
        <v>16</v>
      </c>
      <c r="J11" t="s">
        <v>25</v>
      </c>
    </row>
    <row r="12" spans="1:10" x14ac:dyDescent="0.25">
      <c r="A12">
        <v>10501</v>
      </c>
      <c r="B12" s="9">
        <v>45094</v>
      </c>
      <c r="C12" t="s">
        <v>248</v>
      </c>
      <c r="D12" t="s">
        <v>34</v>
      </c>
      <c r="E12">
        <v>40</v>
      </c>
      <c r="F12" t="s">
        <v>325</v>
      </c>
      <c r="G12">
        <v>76</v>
      </c>
      <c r="H12">
        <v>24320</v>
      </c>
      <c r="I12" t="s">
        <v>16</v>
      </c>
      <c r="J12" t="s">
        <v>25</v>
      </c>
    </row>
    <row r="13" spans="1:10" x14ac:dyDescent="0.25">
      <c r="A13">
        <v>10502</v>
      </c>
      <c r="B13" s="9">
        <v>45094</v>
      </c>
      <c r="C13" t="s">
        <v>238</v>
      </c>
      <c r="D13" t="s">
        <v>34</v>
      </c>
      <c r="E13">
        <v>56</v>
      </c>
      <c r="F13" t="s">
        <v>325</v>
      </c>
      <c r="G13">
        <v>80</v>
      </c>
      <c r="H13">
        <v>25600</v>
      </c>
      <c r="I13" t="s">
        <v>16</v>
      </c>
      <c r="J13" t="s">
        <v>25</v>
      </c>
    </row>
    <row r="14" spans="1:10" x14ac:dyDescent="0.25">
      <c r="A14">
        <v>10525</v>
      </c>
      <c r="B14" s="9">
        <v>45099</v>
      </c>
      <c r="C14" t="s">
        <v>240</v>
      </c>
      <c r="D14" t="s">
        <v>14</v>
      </c>
      <c r="E14">
        <v>60</v>
      </c>
      <c r="F14" t="s">
        <v>325</v>
      </c>
      <c r="G14">
        <v>79.8</v>
      </c>
      <c r="H14">
        <v>25536</v>
      </c>
      <c r="I14" t="s">
        <v>21</v>
      </c>
      <c r="J14" t="s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99"/>
  <sheetViews>
    <sheetView workbookViewId="0">
      <selection activeCell="D18" sqref="D18:E25"/>
    </sheetView>
  </sheetViews>
  <sheetFormatPr baseColWidth="10" defaultColWidth="8.7265625" defaultRowHeight="15" x14ac:dyDescent="0.25"/>
  <cols>
    <col min="1" max="1" width="20.36328125" bestFit="1" customWidth="1"/>
    <col min="2" max="2" width="14.90625" bestFit="1" customWidth="1"/>
    <col min="4" max="4" width="16.453125" bestFit="1" customWidth="1"/>
    <col min="5" max="5" width="17.6328125" bestFit="1" customWidth="1"/>
    <col min="6" max="6" width="5.36328125" customWidth="1"/>
    <col min="7" max="7" width="20" bestFit="1" customWidth="1"/>
    <col min="8" max="9" width="17.6328125" bestFit="1" customWidth="1"/>
  </cols>
  <sheetData>
    <row r="3" spans="1:9" x14ac:dyDescent="0.25">
      <c r="A3" s="7" t="s">
        <v>338</v>
      </c>
      <c r="B3" t="s">
        <v>336</v>
      </c>
      <c r="D3" s="7" t="s">
        <v>338</v>
      </c>
      <c r="E3" t="s">
        <v>339</v>
      </c>
      <c r="G3" s="7" t="s">
        <v>342</v>
      </c>
      <c r="H3" t="s">
        <v>341</v>
      </c>
    </row>
    <row r="4" spans="1:9" x14ac:dyDescent="0.25">
      <c r="A4" s="1" t="s">
        <v>296</v>
      </c>
      <c r="B4" s="8">
        <v>5699.9999999999991</v>
      </c>
      <c r="D4" s="1" t="s">
        <v>256</v>
      </c>
      <c r="E4" s="8">
        <v>48750</v>
      </c>
      <c r="F4" s="8"/>
      <c r="G4" s="1" t="s">
        <v>81</v>
      </c>
      <c r="H4" s="8">
        <v>40900</v>
      </c>
      <c r="I4" s="7"/>
    </row>
    <row r="5" spans="1:9" x14ac:dyDescent="0.25">
      <c r="A5" s="1" t="s">
        <v>290</v>
      </c>
      <c r="B5" s="8">
        <v>5700</v>
      </c>
      <c r="D5" s="1" t="s">
        <v>227</v>
      </c>
      <c r="E5" s="8">
        <v>36400</v>
      </c>
      <c r="F5" s="8"/>
      <c r="G5" s="1" t="s">
        <v>128</v>
      </c>
      <c r="H5" s="8">
        <v>166336</v>
      </c>
    </row>
    <row r="6" spans="1:9" x14ac:dyDescent="0.25">
      <c r="A6" s="1" t="s">
        <v>260</v>
      </c>
      <c r="B6" s="8">
        <v>22400</v>
      </c>
      <c r="D6" s="1" t="s">
        <v>231</v>
      </c>
      <c r="E6" s="8">
        <v>33440</v>
      </c>
      <c r="F6" s="8"/>
      <c r="G6" s="1" t="s">
        <v>100</v>
      </c>
      <c r="H6" s="8">
        <v>297258.8</v>
      </c>
    </row>
    <row r="7" spans="1:9" x14ac:dyDescent="0.25">
      <c r="A7" s="1" t="s">
        <v>310</v>
      </c>
      <c r="B7" s="8">
        <v>8000</v>
      </c>
      <c r="D7" s="1" t="s">
        <v>228</v>
      </c>
      <c r="E7" s="8">
        <v>33440</v>
      </c>
      <c r="F7" s="8"/>
      <c r="G7" s="1" t="s">
        <v>105</v>
      </c>
      <c r="H7" s="8">
        <v>225340</v>
      </c>
    </row>
    <row r="8" spans="1:9" x14ac:dyDescent="0.25">
      <c r="A8" s="1" t="s">
        <v>245</v>
      </c>
      <c r="B8" s="8">
        <v>11400.000000000002</v>
      </c>
      <c r="D8" s="1" t="s">
        <v>239</v>
      </c>
      <c r="E8" s="8">
        <v>32000</v>
      </c>
      <c r="F8" s="8"/>
      <c r="G8" s="1" t="s">
        <v>25</v>
      </c>
      <c r="H8" s="8">
        <v>702524</v>
      </c>
    </row>
    <row r="9" spans="1:9" x14ac:dyDescent="0.25">
      <c r="A9" s="1" t="s">
        <v>302</v>
      </c>
      <c r="B9" s="8">
        <v>3750</v>
      </c>
      <c r="D9" s="1" t="s">
        <v>241</v>
      </c>
      <c r="E9" s="8">
        <v>31839.999999999996</v>
      </c>
      <c r="F9" s="8"/>
      <c r="G9" s="1" t="s">
        <v>335</v>
      </c>
      <c r="H9" s="8">
        <v>1432358.8</v>
      </c>
    </row>
    <row r="10" spans="1:9" x14ac:dyDescent="0.25">
      <c r="A10" s="1" t="s">
        <v>242</v>
      </c>
      <c r="B10" s="8">
        <v>30400.000000000007</v>
      </c>
      <c r="D10" s="1" t="s">
        <v>244</v>
      </c>
      <c r="E10" s="8">
        <v>30400.000000000007</v>
      </c>
      <c r="F10" s="8"/>
    </row>
    <row r="11" spans="1:9" x14ac:dyDescent="0.25">
      <c r="A11" s="1" t="s">
        <v>311</v>
      </c>
      <c r="B11" s="8">
        <v>3750</v>
      </c>
      <c r="D11" s="1" t="s">
        <v>242</v>
      </c>
      <c r="E11" s="8">
        <v>30400.000000000007</v>
      </c>
      <c r="F11" s="8"/>
    </row>
    <row r="12" spans="1:9" x14ac:dyDescent="0.25">
      <c r="A12" s="1" t="s">
        <v>246</v>
      </c>
      <c r="B12" s="8">
        <v>24320.000000000004</v>
      </c>
      <c r="D12" s="1" t="s">
        <v>250</v>
      </c>
      <c r="E12" s="8">
        <v>30000</v>
      </c>
      <c r="F12" s="8"/>
    </row>
    <row r="13" spans="1:9" x14ac:dyDescent="0.25">
      <c r="A13" s="1" t="s">
        <v>266</v>
      </c>
      <c r="B13" s="8">
        <v>24000</v>
      </c>
      <c r="D13" s="1" t="s">
        <v>262</v>
      </c>
      <c r="E13" s="8">
        <v>26800</v>
      </c>
      <c r="F13" s="8"/>
    </row>
    <row r="14" spans="1:9" x14ac:dyDescent="0.25">
      <c r="A14" s="1" t="s">
        <v>273</v>
      </c>
      <c r="B14" s="8">
        <v>20000</v>
      </c>
      <c r="D14" s="1" t="s">
        <v>335</v>
      </c>
      <c r="E14" s="8">
        <v>333470</v>
      </c>
      <c r="F14" s="8"/>
    </row>
    <row r="15" spans="1:9" x14ac:dyDescent="0.25">
      <c r="A15" s="1" t="s">
        <v>253</v>
      </c>
      <c r="B15" s="8">
        <v>18750</v>
      </c>
    </row>
    <row r="16" spans="1:9" x14ac:dyDescent="0.25">
      <c r="A16" s="1" t="s">
        <v>243</v>
      </c>
      <c r="B16" s="8">
        <v>11400.000000000002</v>
      </c>
      <c r="D16" s="1"/>
    </row>
    <row r="17" spans="1:6" x14ac:dyDescent="0.25">
      <c r="A17" s="1" t="s">
        <v>261</v>
      </c>
      <c r="B17" s="8">
        <v>22400</v>
      </c>
      <c r="D17" s="7" t="s">
        <v>337</v>
      </c>
      <c r="E17" t="s">
        <v>340</v>
      </c>
    </row>
    <row r="18" spans="1:6" x14ac:dyDescent="0.25">
      <c r="A18" s="1" t="s">
        <v>268</v>
      </c>
      <c r="B18" s="8">
        <v>15000</v>
      </c>
      <c r="D18" s="1" t="s">
        <v>327</v>
      </c>
      <c r="E18" s="8">
        <v>93020</v>
      </c>
      <c r="F18" s="8"/>
    </row>
    <row r="19" spans="1:6" x14ac:dyDescent="0.25">
      <c r="A19" s="1" t="s">
        <v>229</v>
      </c>
      <c r="B19" s="8">
        <v>26752</v>
      </c>
      <c r="D19" s="1" t="s">
        <v>326</v>
      </c>
      <c r="E19" s="8">
        <v>218060</v>
      </c>
      <c r="F19" s="8"/>
    </row>
    <row r="20" spans="1:6" x14ac:dyDescent="0.25">
      <c r="A20" s="1" t="s">
        <v>276</v>
      </c>
      <c r="B20" s="8">
        <v>18000</v>
      </c>
      <c r="D20" s="1" t="s">
        <v>325</v>
      </c>
      <c r="E20" s="8">
        <v>224106</v>
      </c>
      <c r="F20" s="8"/>
    </row>
    <row r="21" spans="1:6" x14ac:dyDescent="0.25">
      <c r="A21" s="1" t="s">
        <v>247</v>
      </c>
      <c r="B21" s="8">
        <v>24320.000000000004</v>
      </c>
      <c r="D21" s="1" t="s">
        <v>328</v>
      </c>
      <c r="E21" s="8">
        <v>221566</v>
      </c>
      <c r="F21" s="8"/>
    </row>
    <row r="22" spans="1:6" x14ac:dyDescent="0.25">
      <c r="A22" s="1" t="s">
        <v>319</v>
      </c>
      <c r="B22" s="8">
        <v>9200</v>
      </c>
      <c r="D22" s="1" t="s">
        <v>323</v>
      </c>
      <c r="E22" s="8">
        <v>273392.8</v>
      </c>
      <c r="F22" s="8"/>
    </row>
    <row r="23" spans="1:6" x14ac:dyDescent="0.25">
      <c r="A23" s="1" t="s">
        <v>283</v>
      </c>
      <c r="B23" s="8">
        <v>10000</v>
      </c>
      <c r="D23" s="1" t="s">
        <v>322</v>
      </c>
      <c r="E23" s="8">
        <v>309564</v>
      </c>
      <c r="F23" s="8"/>
    </row>
    <row r="24" spans="1:6" x14ac:dyDescent="0.25">
      <c r="A24" s="1" t="s">
        <v>256</v>
      </c>
      <c r="B24" s="8">
        <v>48750</v>
      </c>
      <c r="D24" s="1" t="s">
        <v>324</v>
      </c>
      <c r="E24" s="8">
        <v>88900</v>
      </c>
      <c r="F24" s="8"/>
    </row>
    <row r="25" spans="1:6" x14ac:dyDescent="0.25">
      <c r="A25" s="1" t="s">
        <v>282</v>
      </c>
      <c r="B25" s="8">
        <v>6000</v>
      </c>
      <c r="D25" s="1" t="s">
        <v>329</v>
      </c>
      <c r="E25" s="8">
        <v>3750</v>
      </c>
      <c r="F25" s="8"/>
    </row>
    <row r="26" spans="1:6" x14ac:dyDescent="0.25">
      <c r="A26" s="1" t="s">
        <v>272</v>
      </c>
      <c r="B26" s="8">
        <v>12500</v>
      </c>
      <c r="D26" s="1" t="s">
        <v>335</v>
      </c>
      <c r="E26" s="8">
        <v>1432358.8</v>
      </c>
      <c r="F26" s="8"/>
    </row>
    <row r="27" spans="1:6" x14ac:dyDescent="0.25">
      <c r="A27" s="1" t="s">
        <v>318</v>
      </c>
      <c r="B27" s="8">
        <v>5890</v>
      </c>
    </row>
    <row r="28" spans="1:6" x14ac:dyDescent="0.25">
      <c r="A28" s="1" t="s">
        <v>315</v>
      </c>
      <c r="B28" s="8">
        <v>3750</v>
      </c>
    </row>
    <row r="29" spans="1:6" x14ac:dyDescent="0.25">
      <c r="A29" s="1" t="s">
        <v>288</v>
      </c>
      <c r="B29" s="8">
        <v>15200</v>
      </c>
    </row>
    <row r="30" spans="1:6" x14ac:dyDescent="0.25">
      <c r="A30" s="1" t="s">
        <v>231</v>
      </c>
      <c r="B30" s="8">
        <v>33440</v>
      </c>
    </row>
    <row r="31" spans="1:6" x14ac:dyDescent="0.25">
      <c r="A31" s="1" t="s">
        <v>313</v>
      </c>
      <c r="B31" s="8">
        <v>8000</v>
      </c>
    </row>
    <row r="32" spans="1:6" x14ac:dyDescent="0.25">
      <c r="A32" s="1" t="s">
        <v>314</v>
      </c>
      <c r="B32" s="8">
        <v>8000</v>
      </c>
    </row>
    <row r="33" spans="1:2" x14ac:dyDescent="0.25">
      <c r="A33" s="1" t="s">
        <v>301</v>
      </c>
      <c r="B33" s="8">
        <v>8640</v>
      </c>
    </row>
    <row r="34" spans="1:2" x14ac:dyDescent="0.25">
      <c r="A34" s="1" t="s">
        <v>248</v>
      </c>
      <c r="B34" s="8">
        <v>24320</v>
      </c>
    </row>
    <row r="35" spans="1:2" x14ac:dyDescent="0.25">
      <c r="A35" s="1" t="s">
        <v>312</v>
      </c>
      <c r="B35" s="8">
        <v>3750</v>
      </c>
    </row>
    <row r="36" spans="1:2" x14ac:dyDescent="0.25">
      <c r="A36" s="1" t="s">
        <v>274</v>
      </c>
      <c r="B36" s="8">
        <v>18240</v>
      </c>
    </row>
    <row r="37" spans="1:2" x14ac:dyDescent="0.25">
      <c r="A37" s="1" t="s">
        <v>240</v>
      </c>
      <c r="B37" s="8">
        <v>25536</v>
      </c>
    </row>
    <row r="38" spans="1:2" x14ac:dyDescent="0.25">
      <c r="A38" s="1" t="s">
        <v>307</v>
      </c>
      <c r="B38" s="8">
        <v>11000</v>
      </c>
    </row>
    <row r="39" spans="1:2" x14ac:dyDescent="0.25">
      <c r="A39" s="1" t="s">
        <v>257</v>
      </c>
      <c r="B39" s="8">
        <v>11250</v>
      </c>
    </row>
    <row r="40" spans="1:2" x14ac:dyDescent="0.25">
      <c r="A40" s="1" t="s">
        <v>249</v>
      </c>
      <c r="B40" s="8">
        <v>24000</v>
      </c>
    </row>
    <row r="41" spans="1:2" x14ac:dyDescent="0.25">
      <c r="A41" s="1" t="s">
        <v>262</v>
      </c>
      <c r="B41" s="8">
        <v>26800</v>
      </c>
    </row>
    <row r="42" spans="1:2" x14ac:dyDescent="0.25">
      <c r="A42" s="1" t="s">
        <v>277</v>
      </c>
      <c r="B42" s="8">
        <v>6750</v>
      </c>
    </row>
    <row r="43" spans="1:2" x14ac:dyDescent="0.25">
      <c r="A43" s="1" t="s">
        <v>308</v>
      </c>
      <c r="B43" s="8">
        <v>3750</v>
      </c>
    </row>
    <row r="44" spans="1:2" x14ac:dyDescent="0.25">
      <c r="A44" s="1" t="s">
        <v>227</v>
      </c>
      <c r="B44" s="8">
        <v>36400</v>
      </c>
    </row>
    <row r="45" spans="1:2" x14ac:dyDescent="0.25">
      <c r="A45" s="1" t="s">
        <v>228</v>
      </c>
      <c r="B45" s="8">
        <v>33440</v>
      </c>
    </row>
    <row r="46" spans="1:2" x14ac:dyDescent="0.25">
      <c r="A46" s="1" t="s">
        <v>278</v>
      </c>
      <c r="B46" s="8">
        <v>6600</v>
      </c>
    </row>
    <row r="47" spans="1:2" x14ac:dyDescent="0.25">
      <c r="A47" s="1" t="s">
        <v>252</v>
      </c>
      <c r="B47" s="8">
        <v>11250</v>
      </c>
    </row>
    <row r="48" spans="1:2" x14ac:dyDescent="0.25">
      <c r="A48" s="1" t="s">
        <v>279</v>
      </c>
      <c r="B48" s="8">
        <v>6600</v>
      </c>
    </row>
    <row r="49" spans="1:2" x14ac:dyDescent="0.25">
      <c r="A49" s="1" t="s">
        <v>316</v>
      </c>
      <c r="B49" s="8">
        <v>10000</v>
      </c>
    </row>
    <row r="50" spans="1:2" x14ac:dyDescent="0.25">
      <c r="A50" s="1" t="s">
        <v>298</v>
      </c>
      <c r="B50" s="8">
        <v>11200</v>
      </c>
    </row>
    <row r="51" spans="1:2" x14ac:dyDescent="0.25">
      <c r="A51" s="1" t="s">
        <v>250</v>
      </c>
      <c r="B51" s="8">
        <v>30000</v>
      </c>
    </row>
    <row r="52" spans="1:2" x14ac:dyDescent="0.25">
      <c r="A52" s="1" t="s">
        <v>293</v>
      </c>
      <c r="B52" s="8">
        <v>12159.999999999998</v>
      </c>
    </row>
    <row r="53" spans="1:2" x14ac:dyDescent="0.25">
      <c r="A53" s="1" t="s">
        <v>303</v>
      </c>
      <c r="B53" s="8">
        <v>6250</v>
      </c>
    </row>
    <row r="54" spans="1:2" x14ac:dyDescent="0.25">
      <c r="A54" s="1" t="s">
        <v>235</v>
      </c>
      <c r="B54" s="8">
        <v>12000</v>
      </c>
    </row>
    <row r="55" spans="1:2" x14ac:dyDescent="0.25">
      <c r="A55" s="1" t="s">
        <v>321</v>
      </c>
      <c r="B55" s="8">
        <v>6400</v>
      </c>
    </row>
    <row r="56" spans="1:2" x14ac:dyDescent="0.25">
      <c r="A56" s="1" t="s">
        <v>306</v>
      </c>
      <c r="B56" s="8">
        <v>8000</v>
      </c>
    </row>
    <row r="57" spans="1:2" x14ac:dyDescent="0.25">
      <c r="A57" s="1" t="s">
        <v>294</v>
      </c>
      <c r="B57" s="8">
        <v>5699.9999999999991</v>
      </c>
    </row>
    <row r="58" spans="1:2" x14ac:dyDescent="0.25">
      <c r="A58" s="1" t="s">
        <v>239</v>
      </c>
      <c r="B58" s="8">
        <v>32000</v>
      </c>
    </row>
    <row r="59" spans="1:2" x14ac:dyDescent="0.25">
      <c r="A59" s="1" t="s">
        <v>281</v>
      </c>
      <c r="B59" s="8">
        <v>10500</v>
      </c>
    </row>
    <row r="60" spans="1:2" x14ac:dyDescent="0.25">
      <c r="A60" s="1" t="s">
        <v>271</v>
      </c>
      <c r="B60" s="8">
        <v>23920</v>
      </c>
    </row>
    <row r="61" spans="1:2" x14ac:dyDescent="0.25">
      <c r="A61" s="1" t="s">
        <v>232</v>
      </c>
      <c r="B61" s="8">
        <v>20900</v>
      </c>
    </row>
    <row r="62" spans="1:2" x14ac:dyDescent="0.25">
      <c r="A62" s="1" t="s">
        <v>233</v>
      </c>
      <c r="B62" s="8">
        <v>26240</v>
      </c>
    </row>
    <row r="63" spans="1:2" x14ac:dyDescent="0.25">
      <c r="A63" s="1" t="s">
        <v>234</v>
      </c>
      <c r="B63" s="8">
        <v>20000</v>
      </c>
    </row>
    <row r="64" spans="1:2" x14ac:dyDescent="0.25">
      <c r="A64" s="1" t="s">
        <v>237</v>
      </c>
      <c r="B64" s="8">
        <v>12000</v>
      </c>
    </row>
    <row r="65" spans="1:2" x14ac:dyDescent="0.25">
      <c r="A65" s="1" t="s">
        <v>291</v>
      </c>
      <c r="B65" s="8">
        <v>5699.9999999999991</v>
      </c>
    </row>
    <row r="66" spans="1:2" x14ac:dyDescent="0.25">
      <c r="A66" s="1" t="s">
        <v>270</v>
      </c>
      <c r="B66" s="8">
        <v>9000</v>
      </c>
    </row>
    <row r="67" spans="1:2" x14ac:dyDescent="0.25">
      <c r="A67" s="1" t="s">
        <v>320</v>
      </c>
      <c r="B67" s="8">
        <v>8816</v>
      </c>
    </row>
    <row r="68" spans="1:2" x14ac:dyDescent="0.25">
      <c r="A68" s="1" t="s">
        <v>251</v>
      </c>
      <c r="B68" s="8">
        <v>11250</v>
      </c>
    </row>
    <row r="69" spans="1:2" x14ac:dyDescent="0.25">
      <c r="A69" s="1" t="s">
        <v>317</v>
      </c>
      <c r="B69" s="8">
        <v>7539.2</v>
      </c>
    </row>
    <row r="70" spans="1:2" x14ac:dyDescent="0.25">
      <c r="A70" s="1" t="s">
        <v>287</v>
      </c>
      <c r="B70" s="8">
        <v>5850</v>
      </c>
    </row>
    <row r="71" spans="1:2" x14ac:dyDescent="0.25">
      <c r="A71" s="1" t="s">
        <v>241</v>
      </c>
      <c r="B71" s="8">
        <v>31839.999999999996</v>
      </c>
    </row>
    <row r="72" spans="1:2" x14ac:dyDescent="0.25">
      <c r="A72" s="1" t="s">
        <v>258</v>
      </c>
      <c r="B72" s="8">
        <v>23673.600000000002</v>
      </c>
    </row>
    <row r="73" spans="1:2" x14ac:dyDescent="0.25">
      <c r="A73" s="1" t="s">
        <v>309</v>
      </c>
      <c r="B73" s="8">
        <v>6250</v>
      </c>
    </row>
    <row r="74" spans="1:2" x14ac:dyDescent="0.25">
      <c r="A74" s="1" t="s">
        <v>285</v>
      </c>
      <c r="B74" s="8">
        <v>15919.999999999998</v>
      </c>
    </row>
    <row r="75" spans="1:2" x14ac:dyDescent="0.25">
      <c r="A75" s="1" t="s">
        <v>254</v>
      </c>
      <c r="B75" s="8">
        <v>18750</v>
      </c>
    </row>
    <row r="76" spans="1:2" x14ac:dyDescent="0.25">
      <c r="A76" s="1" t="s">
        <v>230</v>
      </c>
      <c r="B76" s="8">
        <v>26752</v>
      </c>
    </row>
    <row r="77" spans="1:2" x14ac:dyDescent="0.25">
      <c r="A77" s="1" t="s">
        <v>238</v>
      </c>
      <c r="B77" s="8">
        <v>25600</v>
      </c>
    </row>
    <row r="78" spans="1:2" x14ac:dyDescent="0.25">
      <c r="A78" s="1" t="s">
        <v>304</v>
      </c>
      <c r="B78" s="8">
        <v>8000</v>
      </c>
    </row>
    <row r="79" spans="1:2" x14ac:dyDescent="0.25">
      <c r="A79" s="1" t="s">
        <v>300</v>
      </c>
      <c r="B79" s="8">
        <v>11200</v>
      </c>
    </row>
    <row r="80" spans="1:2" x14ac:dyDescent="0.25">
      <c r="A80" s="1" t="s">
        <v>280</v>
      </c>
      <c r="B80" s="8">
        <v>13760</v>
      </c>
    </row>
    <row r="81" spans="1:2" x14ac:dyDescent="0.25">
      <c r="A81" s="1" t="s">
        <v>284</v>
      </c>
      <c r="B81" s="8">
        <v>6000</v>
      </c>
    </row>
    <row r="82" spans="1:2" x14ac:dyDescent="0.25">
      <c r="A82" s="1" t="s">
        <v>289</v>
      </c>
      <c r="B82" s="8">
        <v>9500</v>
      </c>
    </row>
    <row r="83" spans="1:2" x14ac:dyDescent="0.25">
      <c r="A83" s="1" t="s">
        <v>259</v>
      </c>
      <c r="B83" s="8">
        <v>17500</v>
      </c>
    </row>
    <row r="84" spans="1:2" x14ac:dyDescent="0.25">
      <c r="A84" s="1" t="s">
        <v>286</v>
      </c>
      <c r="B84" s="8">
        <v>5970</v>
      </c>
    </row>
    <row r="85" spans="1:2" x14ac:dyDescent="0.25">
      <c r="A85" s="1" t="s">
        <v>269</v>
      </c>
      <c r="B85" s="8">
        <v>9000</v>
      </c>
    </row>
    <row r="86" spans="1:2" x14ac:dyDescent="0.25">
      <c r="A86" s="1" t="s">
        <v>264</v>
      </c>
      <c r="B86" s="8">
        <v>20160</v>
      </c>
    </row>
    <row r="87" spans="1:2" x14ac:dyDescent="0.25">
      <c r="A87" s="1" t="s">
        <v>299</v>
      </c>
      <c r="B87" s="8">
        <v>4950</v>
      </c>
    </row>
    <row r="88" spans="1:2" x14ac:dyDescent="0.25">
      <c r="A88" s="1" t="s">
        <v>275</v>
      </c>
      <c r="B88" s="8">
        <v>18240</v>
      </c>
    </row>
    <row r="89" spans="1:2" x14ac:dyDescent="0.25">
      <c r="A89" s="1" t="s">
        <v>305</v>
      </c>
      <c r="B89" s="8">
        <v>10000</v>
      </c>
    </row>
    <row r="90" spans="1:2" x14ac:dyDescent="0.25">
      <c r="A90" s="1" t="s">
        <v>236</v>
      </c>
      <c r="B90" s="8">
        <v>12000</v>
      </c>
    </row>
    <row r="91" spans="1:2" x14ac:dyDescent="0.25">
      <c r="A91" s="1" t="s">
        <v>244</v>
      </c>
      <c r="B91" s="8">
        <v>30400.000000000007</v>
      </c>
    </row>
    <row r="92" spans="1:2" x14ac:dyDescent="0.25">
      <c r="A92" s="1" t="s">
        <v>297</v>
      </c>
      <c r="B92" s="8">
        <v>15199.999999999996</v>
      </c>
    </row>
    <row r="93" spans="1:2" x14ac:dyDescent="0.25">
      <c r="A93" s="1" t="s">
        <v>295</v>
      </c>
      <c r="B93" s="8">
        <v>12159.999999999998</v>
      </c>
    </row>
    <row r="94" spans="1:2" x14ac:dyDescent="0.25">
      <c r="A94" s="1" t="s">
        <v>255</v>
      </c>
      <c r="B94" s="8">
        <v>18750</v>
      </c>
    </row>
    <row r="95" spans="1:2" x14ac:dyDescent="0.25">
      <c r="A95" s="1" t="s">
        <v>292</v>
      </c>
      <c r="B95" s="8">
        <v>12159.999999999998</v>
      </c>
    </row>
    <row r="96" spans="1:2" x14ac:dyDescent="0.25">
      <c r="A96" s="1" t="s">
        <v>263</v>
      </c>
      <c r="B96" s="8">
        <v>9450</v>
      </c>
    </row>
    <row r="97" spans="1:2" x14ac:dyDescent="0.25">
      <c r="A97" s="1" t="s">
        <v>265</v>
      </c>
      <c r="B97" s="8">
        <v>9450</v>
      </c>
    </row>
    <row r="98" spans="1:2" x14ac:dyDescent="0.25">
      <c r="A98" s="1" t="s">
        <v>267</v>
      </c>
      <c r="B98" s="8">
        <v>19200</v>
      </c>
    </row>
    <row r="99" spans="1:2" x14ac:dyDescent="0.25">
      <c r="A99" s="1" t="s">
        <v>335</v>
      </c>
      <c r="B99" s="8">
        <v>1432358.8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K14" sqref="K14"/>
    </sheetView>
  </sheetViews>
  <sheetFormatPr baseColWidth="10" defaultColWidth="8.7265625" defaultRowHeight="15" x14ac:dyDescent="0.25"/>
  <cols>
    <col min="1" max="1" width="20.36328125" bestFit="1" customWidth="1"/>
    <col min="2" max="2" width="14.81640625" bestFit="1" customWidth="1"/>
    <col min="6" max="6" width="14.36328125" customWidth="1"/>
    <col min="7" max="7" width="15.08984375" customWidth="1"/>
  </cols>
  <sheetData>
    <row r="1" spans="1:7" x14ac:dyDescent="0.25">
      <c r="A1" s="15" t="s">
        <v>338</v>
      </c>
      <c r="B1" s="2" t="s">
        <v>347</v>
      </c>
    </row>
    <row r="2" spans="1:7" x14ac:dyDescent="0.25">
      <c r="A2" s="1" t="s">
        <v>247</v>
      </c>
      <c r="B2" s="8">
        <v>68</v>
      </c>
    </row>
    <row r="3" spans="1:7" x14ac:dyDescent="0.25">
      <c r="A3" s="1" t="s">
        <v>253</v>
      </c>
      <c r="B3" s="8">
        <v>67</v>
      </c>
      <c r="F3" s="16" t="s">
        <v>338</v>
      </c>
      <c r="G3" s="16" t="s">
        <v>347</v>
      </c>
    </row>
    <row r="4" spans="1:7" x14ac:dyDescent="0.25">
      <c r="A4" s="1" t="s">
        <v>257</v>
      </c>
      <c r="B4" s="8">
        <v>67</v>
      </c>
      <c r="F4" s="1" t="s">
        <v>247</v>
      </c>
      <c r="G4" s="8">
        <v>68</v>
      </c>
    </row>
    <row r="5" spans="1:7" x14ac:dyDescent="0.25">
      <c r="A5" s="1" t="s">
        <v>256</v>
      </c>
      <c r="B5" s="8">
        <v>64.5</v>
      </c>
      <c r="F5" s="1" t="s">
        <v>253</v>
      </c>
      <c r="G5" s="8">
        <v>67</v>
      </c>
    </row>
    <row r="6" spans="1:7" x14ac:dyDescent="0.25">
      <c r="A6" s="1" t="s">
        <v>255</v>
      </c>
      <c r="B6" s="8">
        <v>63</v>
      </c>
      <c r="F6" s="1" t="s">
        <v>257</v>
      </c>
      <c r="G6" s="8">
        <v>67</v>
      </c>
    </row>
    <row r="7" spans="1:7" x14ac:dyDescent="0.25">
      <c r="A7" s="1" t="s">
        <v>259</v>
      </c>
      <c r="B7" s="8">
        <v>62</v>
      </c>
      <c r="F7" s="1" t="s">
        <v>256</v>
      </c>
      <c r="G7" s="8">
        <v>64.5</v>
      </c>
    </row>
    <row r="8" spans="1:7" x14ac:dyDescent="0.25">
      <c r="A8" s="1" t="s">
        <v>319</v>
      </c>
      <c r="B8" s="8">
        <v>62</v>
      </c>
      <c r="F8" s="1" t="s">
        <v>255</v>
      </c>
      <c r="G8" s="8">
        <v>63</v>
      </c>
    </row>
    <row r="9" spans="1:7" x14ac:dyDescent="0.25">
      <c r="A9" s="1" t="s">
        <v>270</v>
      </c>
      <c r="B9" s="8">
        <v>61</v>
      </c>
    </row>
    <row r="10" spans="1:7" x14ac:dyDescent="0.25">
      <c r="A10" s="1" t="s">
        <v>229</v>
      </c>
      <c r="B10" s="8">
        <v>60</v>
      </c>
    </row>
    <row r="11" spans="1:7" x14ac:dyDescent="0.25">
      <c r="A11" s="1" t="s">
        <v>258</v>
      </c>
      <c r="B11" s="8">
        <v>60</v>
      </c>
    </row>
    <row r="12" spans="1:7" x14ac:dyDescent="0.25">
      <c r="A12" s="1" t="s">
        <v>241</v>
      </c>
      <c r="B12" s="8">
        <v>60</v>
      </c>
    </row>
    <row r="13" spans="1:7" x14ac:dyDescent="0.25">
      <c r="A13" s="1" t="s">
        <v>254</v>
      </c>
      <c r="B13" s="8">
        <v>59</v>
      </c>
    </row>
    <row r="14" spans="1:7" x14ac:dyDescent="0.25">
      <c r="A14" s="1" t="s">
        <v>236</v>
      </c>
      <c r="B14" s="8">
        <v>59</v>
      </c>
    </row>
    <row r="15" spans="1:7" x14ac:dyDescent="0.25">
      <c r="A15" s="1" t="s">
        <v>264</v>
      </c>
      <c r="B15" s="8">
        <v>58</v>
      </c>
    </row>
    <row r="16" spans="1:7" x14ac:dyDescent="0.25">
      <c r="A16" s="1" t="s">
        <v>230</v>
      </c>
      <c r="B16" s="8">
        <v>58</v>
      </c>
    </row>
    <row r="17" spans="1:2" x14ac:dyDescent="0.25">
      <c r="A17" s="1" t="s">
        <v>243</v>
      </c>
      <c r="B17" s="8">
        <v>57</v>
      </c>
    </row>
    <row r="18" spans="1:2" x14ac:dyDescent="0.25">
      <c r="A18" s="1" t="s">
        <v>244</v>
      </c>
      <c r="B18" s="8">
        <v>56</v>
      </c>
    </row>
    <row r="19" spans="1:2" x14ac:dyDescent="0.25">
      <c r="A19" s="1" t="s">
        <v>239</v>
      </c>
      <c r="B19" s="8">
        <v>56</v>
      </c>
    </row>
    <row r="20" spans="1:2" x14ac:dyDescent="0.25">
      <c r="A20" s="1" t="s">
        <v>296</v>
      </c>
      <c r="B20" s="8">
        <v>55</v>
      </c>
    </row>
    <row r="21" spans="1:2" x14ac:dyDescent="0.25">
      <c r="A21" s="1" t="s">
        <v>272</v>
      </c>
      <c r="B21" s="8">
        <v>55</v>
      </c>
    </row>
    <row r="22" spans="1:2" x14ac:dyDescent="0.25">
      <c r="A22" s="1" t="s">
        <v>265</v>
      </c>
      <c r="B22" s="8">
        <v>55</v>
      </c>
    </row>
    <row r="23" spans="1:2" x14ac:dyDescent="0.25">
      <c r="A23" s="1" t="s">
        <v>228</v>
      </c>
      <c r="B23" s="8">
        <v>55</v>
      </c>
    </row>
    <row r="24" spans="1:2" x14ac:dyDescent="0.25">
      <c r="A24" s="1" t="s">
        <v>248</v>
      </c>
      <c r="B24" s="8">
        <v>54</v>
      </c>
    </row>
    <row r="25" spans="1:2" x14ac:dyDescent="0.25">
      <c r="A25" s="1" t="s">
        <v>263</v>
      </c>
      <c r="B25" s="8">
        <v>54</v>
      </c>
    </row>
    <row r="26" spans="1:2" x14ac:dyDescent="0.25">
      <c r="A26" s="1" t="s">
        <v>245</v>
      </c>
      <c r="B26" s="8">
        <v>53</v>
      </c>
    </row>
    <row r="27" spans="1:2" x14ac:dyDescent="0.25">
      <c r="A27" s="1" t="s">
        <v>267</v>
      </c>
      <c r="B27" s="8">
        <v>53</v>
      </c>
    </row>
    <row r="28" spans="1:2" x14ac:dyDescent="0.25">
      <c r="A28" s="1" t="s">
        <v>266</v>
      </c>
      <c r="B28" s="8">
        <v>52</v>
      </c>
    </row>
    <row r="29" spans="1:2" x14ac:dyDescent="0.25">
      <c r="A29" s="1" t="s">
        <v>298</v>
      </c>
      <c r="B29" s="8">
        <v>52</v>
      </c>
    </row>
    <row r="30" spans="1:2" x14ac:dyDescent="0.25">
      <c r="A30" s="1" t="s">
        <v>260</v>
      </c>
      <c r="B30" s="8">
        <v>52</v>
      </c>
    </row>
    <row r="31" spans="1:2" x14ac:dyDescent="0.25">
      <c r="A31" s="1" t="s">
        <v>269</v>
      </c>
      <c r="B31" s="8">
        <v>52</v>
      </c>
    </row>
    <row r="32" spans="1:2" x14ac:dyDescent="0.25">
      <c r="A32" s="1" t="s">
        <v>282</v>
      </c>
      <c r="B32" s="8">
        <v>51</v>
      </c>
    </row>
    <row r="33" spans="1:2" x14ac:dyDescent="0.25">
      <c r="A33" s="1" t="s">
        <v>234</v>
      </c>
      <c r="B33" s="8">
        <v>51</v>
      </c>
    </row>
    <row r="34" spans="1:2" x14ac:dyDescent="0.25">
      <c r="A34" s="1" t="s">
        <v>262</v>
      </c>
      <c r="B34" s="8">
        <v>51</v>
      </c>
    </row>
    <row r="35" spans="1:2" x14ac:dyDescent="0.25">
      <c r="A35" s="1" t="s">
        <v>233</v>
      </c>
      <c r="B35" s="8">
        <v>51</v>
      </c>
    </row>
    <row r="36" spans="1:2" x14ac:dyDescent="0.25">
      <c r="A36" s="1" t="s">
        <v>235</v>
      </c>
      <c r="B36" s="8">
        <v>50</v>
      </c>
    </row>
    <row r="37" spans="1:2" x14ac:dyDescent="0.25">
      <c r="A37" s="1" t="s">
        <v>251</v>
      </c>
      <c r="B37" s="8">
        <v>49</v>
      </c>
    </row>
    <row r="38" spans="1:2" x14ac:dyDescent="0.25">
      <c r="A38" s="1" t="s">
        <v>231</v>
      </c>
      <c r="B38" s="8">
        <v>49</v>
      </c>
    </row>
    <row r="39" spans="1:2" x14ac:dyDescent="0.25">
      <c r="A39" s="1" t="s">
        <v>278</v>
      </c>
      <c r="B39" s="8">
        <v>49</v>
      </c>
    </row>
    <row r="40" spans="1:2" x14ac:dyDescent="0.25">
      <c r="A40" s="1" t="s">
        <v>250</v>
      </c>
      <c r="B40" s="8">
        <v>49</v>
      </c>
    </row>
    <row r="41" spans="1:2" x14ac:dyDescent="0.25">
      <c r="A41" s="1" t="s">
        <v>252</v>
      </c>
      <c r="B41" s="8">
        <v>48</v>
      </c>
    </row>
    <row r="42" spans="1:2" x14ac:dyDescent="0.25">
      <c r="A42" s="1" t="s">
        <v>237</v>
      </c>
      <c r="B42" s="8">
        <v>48</v>
      </c>
    </row>
    <row r="43" spans="1:2" x14ac:dyDescent="0.25">
      <c r="A43" s="1" t="s">
        <v>240</v>
      </c>
      <c r="B43" s="8">
        <v>47</v>
      </c>
    </row>
    <row r="44" spans="1:2" x14ac:dyDescent="0.25">
      <c r="A44" s="1" t="s">
        <v>268</v>
      </c>
      <c r="B44" s="8">
        <v>46</v>
      </c>
    </row>
    <row r="45" spans="1:2" x14ac:dyDescent="0.25">
      <c r="A45" s="1" t="s">
        <v>291</v>
      </c>
      <c r="B45" s="8">
        <v>46</v>
      </c>
    </row>
    <row r="46" spans="1:2" x14ac:dyDescent="0.25">
      <c r="A46" s="1" t="s">
        <v>238</v>
      </c>
      <c r="B46" s="8">
        <v>45</v>
      </c>
    </row>
    <row r="47" spans="1:2" x14ac:dyDescent="0.25">
      <c r="A47" s="1" t="s">
        <v>246</v>
      </c>
      <c r="B47" s="8">
        <v>45</v>
      </c>
    </row>
    <row r="48" spans="1:2" x14ac:dyDescent="0.25">
      <c r="A48" s="1" t="s">
        <v>271</v>
      </c>
      <c r="B48" s="8">
        <v>44</v>
      </c>
    </row>
    <row r="49" spans="1:2" x14ac:dyDescent="0.25">
      <c r="A49" s="1" t="s">
        <v>242</v>
      </c>
      <c r="B49" s="8">
        <v>44</v>
      </c>
    </row>
    <row r="50" spans="1:2" x14ac:dyDescent="0.25">
      <c r="A50" s="1" t="s">
        <v>297</v>
      </c>
      <c r="B50" s="8">
        <v>43</v>
      </c>
    </row>
    <row r="51" spans="1:2" x14ac:dyDescent="0.25">
      <c r="A51" s="1" t="s">
        <v>232</v>
      </c>
      <c r="B51" s="8">
        <v>42</v>
      </c>
    </row>
    <row r="52" spans="1:2" x14ac:dyDescent="0.25">
      <c r="A52" s="1" t="s">
        <v>261</v>
      </c>
      <c r="B52" s="8">
        <v>41</v>
      </c>
    </row>
    <row r="53" spans="1:2" x14ac:dyDescent="0.25">
      <c r="A53" s="1" t="s">
        <v>249</v>
      </c>
      <c r="B53" s="8">
        <v>40</v>
      </c>
    </row>
    <row r="54" spans="1:2" x14ac:dyDescent="0.25">
      <c r="A54" s="1" t="s">
        <v>300</v>
      </c>
      <c r="B54" s="8">
        <v>39</v>
      </c>
    </row>
    <row r="55" spans="1:2" x14ac:dyDescent="0.25">
      <c r="A55" s="1" t="s">
        <v>274</v>
      </c>
      <c r="B55" s="8">
        <v>39</v>
      </c>
    </row>
    <row r="56" spans="1:2" x14ac:dyDescent="0.25">
      <c r="A56" s="1" t="s">
        <v>288</v>
      </c>
      <c r="B56" s="8">
        <v>39</v>
      </c>
    </row>
    <row r="57" spans="1:2" x14ac:dyDescent="0.25">
      <c r="A57" s="1" t="s">
        <v>312</v>
      </c>
      <c r="B57" s="8">
        <v>38</v>
      </c>
    </row>
    <row r="58" spans="1:2" x14ac:dyDescent="0.25">
      <c r="A58" s="1" t="s">
        <v>299</v>
      </c>
      <c r="B58" s="8">
        <v>38</v>
      </c>
    </row>
    <row r="59" spans="1:2" x14ac:dyDescent="0.25">
      <c r="A59" s="1" t="s">
        <v>273</v>
      </c>
      <c r="B59" s="8">
        <v>37</v>
      </c>
    </row>
    <row r="60" spans="1:2" x14ac:dyDescent="0.25">
      <c r="A60" s="1" t="s">
        <v>281</v>
      </c>
      <c r="B60" s="8">
        <v>37</v>
      </c>
    </row>
    <row r="61" spans="1:2" x14ac:dyDescent="0.25">
      <c r="A61" s="1" t="s">
        <v>276</v>
      </c>
      <c r="B61" s="8">
        <v>37</v>
      </c>
    </row>
    <row r="62" spans="1:2" x14ac:dyDescent="0.25">
      <c r="A62" s="1" t="s">
        <v>284</v>
      </c>
      <c r="B62" s="8">
        <v>37</v>
      </c>
    </row>
    <row r="63" spans="1:2" x14ac:dyDescent="0.25">
      <c r="A63" s="1" t="s">
        <v>313</v>
      </c>
      <c r="B63" s="8">
        <v>36</v>
      </c>
    </row>
    <row r="64" spans="1:2" x14ac:dyDescent="0.25">
      <c r="A64" s="1" t="s">
        <v>280</v>
      </c>
      <c r="B64" s="8">
        <v>36</v>
      </c>
    </row>
    <row r="65" spans="1:2" x14ac:dyDescent="0.25">
      <c r="A65" s="1" t="s">
        <v>304</v>
      </c>
      <c r="B65" s="8">
        <v>36</v>
      </c>
    </row>
    <row r="66" spans="1:2" x14ac:dyDescent="0.25">
      <c r="A66" s="1" t="s">
        <v>289</v>
      </c>
      <c r="B66" s="8">
        <v>35</v>
      </c>
    </row>
    <row r="67" spans="1:2" x14ac:dyDescent="0.25">
      <c r="A67" s="1" t="s">
        <v>290</v>
      </c>
      <c r="B67" s="8">
        <v>35</v>
      </c>
    </row>
    <row r="68" spans="1:2" x14ac:dyDescent="0.25">
      <c r="A68" s="1" t="s">
        <v>315</v>
      </c>
      <c r="B68" s="8">
        <v>33</v>
      </c>
    </row>
    <row r="69" spans="1:2" x14ac:dyDescent="0.25">
      <c r="A69" s="1" t="s">
        <v>277</v>
      </c>
      <c r="B69" s="8">
        <v>33</v>
      </c>
    </row>
    <row r="70" spans="1:2" x14ac:dyDescent="0.25">
      <c r="A70" s="1" t="s">
        <v>307</v>
      </c>
      <c r="B70" s="8">
        <v>32.666666666666664</v>
      </c>
    </row>
    <row r="71" spans="1:2" x14ac:dyDescent="0.25">
      <c r="A71" s="1" t="s">
        <v>292</v>
      </c>
      <c r="B71" s="8">
        <v>31</v>
      </c>
    </row>
    <row r="72" spans="1:2" x14ac:dyDescent="0.25">
      <c r="A72" s="1" t="s">
        <v>314</v>
      </c>
      <c r="B72" s="8">
        <v>31</v>
      </c>
    </row>
    <row r="73" spans="1:2" x14ac:dyDescent="0.25">
      <c r="A73" s="1" t="s">
        <v>301</v>
      </c>
      <c r="B73" s="8">
        <v>31</v>
      </c>
    </row>
    <row r="74" spans="1:2" x14ac:dyDescent="0.25">
      <c r="A74" s="1" t="s">
        <v>346</v>
      </c>
      <c r="B74" s="8">
        <v>30</v>
      </c>
    </row>
    <row r="75" spans="1:2" x14ac:dyDescent="0.25">
      <c r="A75" s="1" t="s">
        <v>308</v>
      </c>
      <c r="B75" s="8">
        <v>30</v>
      </c>
    </row>
    <row r="76" spans="1:2" x14ac:dyDescent="0.25">
      <c r="A76" s="1" t="s">
        <v>275</v>
      </c>
      <c r="B76" s="8">
        <v>28</v>
      </c>
    </row>
    <row r="77" spans="1:2" x14ac:dyDescent="0.25">
      <c r="A77" s="1" t="s">
        <v>306</v>
      </c>
      <c r="B77" s="8">
        <v>28</v>
      </c>
    </row>
    <row r="78" spans="1:2" x14ac:dyDescent="0.25">
      <c r="A78" s="1" t="s">
        <v>302</v>
      </c>
      <c r="B78" s="8">
        <v>26</v>
      </c>
    </row>
    <row r="79" spans="1:2" x14ac:dyDescent="0.25">
      <c r="A79" s="1" t="s">
        <v>317</v>
      </c>
      <c r="B79" s="8">
        <v>26</v>
      </c>
    </row>
    <row r="80" spans="1:2" x14ac:dyDescent="0.25">
      <c r="A80" s="1" t="s">
        <v>320</v>
      </c>
      <c r="B80" s="8">
        <v>26</v>
      </c>
    </row>
    <row r="81" spans="1:2" x14ac:dyDescent="0.25">
      <c r="A81" s="1" t="s">
        <v>318</v>
      </c>
      <c r="B81" s="8">
        <v>26</v>
      </c>
    </row>
    <row r="82" spans="1:2" x14ac:dyDescent="0.25">
      <c r="A82" s="1" t="s">
        <v>279</v>
      </c>
      <c r="B82" s="8">
        <v>25</v>
      </c>
    </row>
    <row r="83" spans="1:2" x14ac:dyDescent="0.25">
      <c r="A83" s="1" t="s">
        <v>286</v>
      </c>
      <c r="B83" s="8">
        <v>24</v>
      </c>
    </row>
    <row r="84" spans="1:2" x14ac:dyDescent="0.25">
      <c r="A84" s="1" t="s">
        <v>285</v>
      </c>
      <c r="B84" s="8">
        <v>24</v>
      </c>
    </row>
    <row r="85" spans="1:2" x14ac:dyDescent="0.25">
      <c r="A85" s="1" t="s">
        <v>310</v>
      </c>
      <c r="B85" s="8">
        <v>24</v>
      </c>
    </row>
    <row r="86" spans="1:2" x14ac:dyDescent="0.25">
      <c r="A86" s="1" t="s">
        <v>309</v>
      </c>
      <c r="B86" s="8">
        <v>23</v>
      </c>
    </row>
    <row r="87" spans="1:2" x14ac:dyDescent="0.25">
      <c r="A87" s="1" t="s">
        <v>303</v>
      </c>
      <c r="B87" s="8">
        <v>23</v>
      </c>
    </row>
    <row r="88" spans="1:2" x14ac:dyDescent="0.25">
      <c r="A88" s="1" t="s">
        <v>294</v>
      </c>
      <c r="B88" s="8">
        <v>23</v>
      </c>
    </row>
    <row r="89" spans="1:2" x14ac:dyDescent="0.25">
      <c r="A89" s="1" t="s">
        <v>293</v>
      </c>
      <c r="B89" s="8">
        <v>23</v>
      </c>
    </row>
    <row r="90" spans="1:2" x14ac:dyDescent="0.25">
      <c r="A90" s="1" t="s">
        <v>316</v>
      </c>
      <c r="B90" s="8">
        <v>22</v>
      </c>
    </row>
    <row r="91" spans="1:2" x14ac:dyDescent="0.25">
      <c r="A91" s="1" t="s">
        <v>295</v>
      </c>
      <c r="B91" s="8">
        <v>21</v>
      </c>
    </row>
    <row r="92" spans="1:2" x14ac:dyDescent="0.25">
      <c r="A92" s="1" t="s">
        <v>283</v>
      </c>
      <c r="B92" s="8">
        <v>21</v>
      </c>
    </row>
    <row r="93" spans="1:2" x14ac:dyDescent="0.25">
      <c r="A93" s="1" t="s">
        <v>287</v>
      </c>
      <c r="B93" s="8">
        <v>21</v>
      </c>
    </row>
    <row r="94" spans="1:2" x14ac:dyDescent="0.25">
      <c r="A94" s="1" t="s">
        <v>321</v>
      </c>
      <c r="B94" s="8">
        <v>20</v>
      </c>
    </row>
    <row r="95" spans="1:2" x14ac:dyDescent="0.25">
      <c r="A95" s="1" t="s">
        <v>305</v>
      </c>
      <c r="B95" s="8">
        <v>20</v>
      </c>
    </row>
    <row r="96" spans="1:2" x14ac:dyDescent="0.25">
      <c r="A96" s="1" t="s">
        <v>311</v>
      </c>
      <c r="B96" s="8">
        <v>20</v>
      </c>
    </row>
    <row r="97" spans="1:2" x14ac:dyDescent="0.25">
      <c r="A97" s="1" t="s">
        <v>335</v>
      </c>
      <c r="B97" s="8">
        <v>42.479591836734691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Q8" sqref="Q8"/>
    </sheetView>
  </sheetViews>
  <sheetFormatPr baseColWidth="10" defaultColWidth="8.7265625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0"/>
  <sheetViews>
    <sheetView topLeftCell="E1" workbookViewId="0">
      <selection activeCell="N8" sqref="N8"/>
    </sheetView>
  </sheetViews>
  <sheetFormatPr baseColWidth="10" defaultColWidth="8.7265625" defaultRowHeight="15" x14ac:dyDescent="0.25"/>
  <cols>
    <col min="3" max="3" width="9.54296875" style="9" bestFit="1" customWidth="1"/>
    <col min="4" max="4" width="20.36328125" bestFit="1" customWidth="1"/>
    <col min="5" max="5" width="12" customWidth="1"/>
    <col min="7" max="7" width="14" customWidth="1"/>
    <col min="11" max="11" width="13.6328125" customWidth="1"/>
    <col min="12" max="12" width="14.81640625" customWidth="1"/>
  </cols>
  <sheetData>
    <row r="2" spans="2:18" s="10" customFormat="1" ht="30" x14ac:dyDescent="0.25">
      <c r="B2" s="11" t="s">
        <v>0</v>
      </c>
      <c r="C2" s="12" t="s">
        <v>1</v>
      </c>
      <c r="D2" s="11" t="s">
        <v>338</v>
      </c>
      <c r="E2" s="11" t="s">
        <v>4</v>
      </c>
      <c r="F2" s="13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4" t="s">
        <v>10</v>
      </c>
      <c r="L2" s="11" t="s">
        <v>342</v>
      </c>
    </row>
    <row r="3" spans="2:18" x14ac:dyDescent="0.25">
      <c r="B3" s="1">
        <v>10507</v>
      </c>
      <c r="C3" s="6">
        <v>45095</v>
      </c>
      <c r="D3" t="s">
        <v>228</v>
      </c>
      <c r="E3" t="s">
        <v>14</v>
      </c>
      <c r="F3" s="2">
        <v>55</v>
      </c>
      <c r="G3" t="s">
        <v>322</v>
      </c>
      <c r="H3">
        <v>400</v>
      </c>
      <c r="I3">
        <v>91</v>
      </c>
      <c r="J3">
        <v>36400</v>
      </c>
      <c r="K3" t="s">
        <v>16</v>
      </c>
      <c r="L3" t="s">
        <v>25</v>
      </c>
    </row>
    <row r="4" spans="2:18" x14ac:dyDescent="0.25">
      <c r="B4" s="1">
        <v>10534</v>
      </c>
      <c r="C4" s="6">
        <v>45100</v>
      </c>
      <c r="D4" t="s">
        <v>229</v>
      </c>
      <c r="E4" t="s">
        <v>14</v>
      </c>
      <c r="F4" s="2">
        <v>60</v>
      </c>
      <c r="G4" t="s">
        <v>323</v>
      </c>
      <c r="H4">
        <v>400</v>
      </c>
      <c r="I4">
        <v>84</v>
      </c>
      <c r="J4">
        <v>33440</v>
      </c>
      <c r="K4" t="s">
        <v>21</v>
      </c>
      <c r="L4" t="s">
        <v>25</v>
      </c>
    </row>
    <row r="5" spans="2:18" x14ac:dyDescent="0.25">
      <c r="B5" s="1">
        <v>10537</v>
      </c>
      <c r="C5" s="6">
        <v>45101</v>
      </c>
      <c r="D5" t="s">
        <v>230</v>
      </c>
      <c r="E5" t="s">
        <v>14</v>
      </c>
      <c r="F5" s="2">
        <v>58</v>
      </c>
      <c r="G5" t="s">
        <v>322</v>
      </c>
      <c r="H5">
        <v>320</v>
      </c>
      <c r="I5">
        <v>84</v>
      </c>
      <c r="J5">
        <v>26752</v>
      </c>
      <c r="K5" t="s">
        <v>16</v>
      </c>
      <c r="L5" t="s">
        <v>25</v>
      </c>
      <c r="M5" t="s">
        <v>337</v>
      </c>
      <c r="N5" t="s">
        <v>348</v>
      </c>
    </row>
    <row r="6" spans="2:18" x14ac:dyDescent="0.25">
      <c r="B6" s="1">
        <v>10538</v>
      </c>
      <c r="C6" s="6">
        <v>45101</v>
      </c>
      <c r="D6" t="s">
        <v>231</v>
      </c>
      <c r="E6" t="s">
        <v>14</v>
      </c>
      <c r="F6" s="2">
        <v>49</v>
      </c>
      <c r="G6" t="s">
        <v>322</v>
      </c>
      <c r="H6">
        <v>320</v>
      </c>
      <c r="I6">
        <v>84</v>
      </c>
      <c r="J6">
        <v>26752</v>
      </c>
      <c r="K6" t="s">
        <v>16</v>
      </c>
      <c r="L6" t="s">
        <v>25</v>
      </c>
      <c r="M6" t="s">
        <v>322</v>
      </c>
      <c r="N6">
        <f>SUMIF(G3:G100,G3,J3:J100)</f>
        <v>309564</v>
      </c>
      <c r="Q6" t="s">
        <v>322</v>
      </c>
      <c r="R6">
        <f>COUNTIF(G3:G100,G3)</f>
        <v>19</v>
      </c>
    </row>
    <row r="7" spans="2:18" x14ac:dyDescent="0.25">
      <c r="B7" s="1">
        <v>10542</v>
      </c>
      <c r="C7" s="6">
        <v>45102</v>
      </c>
      <c r="D7" t="s">
        <v>232</v>
      </c>
      <c r="E7" t="s">
        <v>14</v>
      </c>
      <c r="F7" s="2">
        <v>42</v>
      </c>
      <c r="G7" t="s">
        <v>323</v>
      </c>
      <c r="H7">
        <v>400</v>
      </c>
      <c r="I7">
        <v>84</v>
      </c>
      <c r="J7">
        <v>33440</v>
      </c>
      <c r="K7" t="s">
        <v>16</v>
      </c>
      <c r="L7" t="s">
        <v>128</v>
      </c>
      <c r="N7">
        <f>SUMIF(G:G,G8,J:J)</f>
        <v>88900</v>
      </c>
      <c r="P7">
        <f>SUMIF(G:G,G3,J:J)</f>
        <v>309564</v>
      </c>
      <c r="R7">
        <f>COUNTIF(G:G,G4)</f>
        <v>14</v>
      </c>
    </row>
    <row r="8" spans="2:18" x14ac:dyDescent="0.25">
      <c r="B8" s="1">
        <v>10547</v>
      </c>
      <c r="C8" s="6">
        <v>45103</v>
      </c>
      <c r="D8" t="s">
        <v>233</v>
      </c>
      <c r="E8" t="s">
        <v>34</v>
      </c>
      <c r="F8" s="2">
        <v>51</v>
      </c>
      <c r="G8" t="s">
        <v>343</v>
      </c>
      <c r="I8">
        <v>84</v>
      </c>
      <c r="J8">
        <v>20900</v>
      </c>
      <c r="K8" t="s">
        <v>16</v>
      </c>
      <c r="L8" t="s">
        <v>128</v>
      </c>
    </row>
    <row r="9" spans="2:18" x14ac:dyDescent="0.25">
      <c r="B9" s="1">
        <v>10485</v>
      </c>
      <c r="C9" s="6">
        <v>45091</v>
      </c>
      <c r="D9" t="s">
        <v>234</v>
      </c>
      <c r="E9" t="s">
        <v>14</v>
      </c>
      <c r="F9" s="2">
        <v>51</v>
      </c>
      <c r="G9" t="s">
        <v>328</v>
      </c>
      <c r="I9">
        <v>82</v>
      </c>
      <c r="J9">
        <v>26240</v>
      </c>
      <c r="K9" t="s">
        <v>16</v>
      </c>
      <c r="L9" t="s">
        <v>105</v>
      </c>
    </row>
    <row r="10" spans="2:18" x14ac:dyDescent="0.25">
      <c r="B10" s="1">
        <v>10453</v>
      </c>
      <c r="C10" s="6">
        <v>45084</v>
      </c>
      <c r="D10" t="s">
        <v>235</v>
      </c>
      <c r="E10" t="s">
        <v>34</v>
      </c>
      <c r="F10" s="2">
        <v>50</v>
      </c>
      <c r="G10" t="s">
        <v>325</v>
      </c>
      <c r="I10">
        <v>80</v>
      </c>
      <c r="J10">
        <v>20000</v>
      </c>
      <c r="K10" t="s">
        <v>44</v>
      </c>
      <c r="L10" t="s">
        <v>25</v>
      </c>
    </row>
    <row r="11" spans="2:18" x14ac:dyDescent="0.25">
      <c r="B11" s="1">
        <v>10477</v>
      </c>
      <c r="C11" s="6">
        <v>45089</v>
      </c>
      <c r="D11" t="s">
        <v>236</v>
      </c>
      <c r="E11" t="s">
        <v>34</v>
      </c>
      <c r="F11" s="2">
        <v>59</v>
      </c>
      <c r="G11" t="s">
        <v>322</v>
      </c>
      <c r="I11">
        <v>80</v>
      </c>
      <c r="J11">
        <v>12000</v>
      </c>
      <c r="K11" t="s">
        <v>16</v>
      </c>
      <c r="L11" t="s">
        <v>25</v>
      </c>
    </row>
    <row r="12" spans="2:18" x14ac:dyDescent="0.25">
      <c r="B12" s="1">
        <v>10486</v>
      </c>
      <c r="C12" s="6">
        <v>45091</v>
      </c>
      <c r="D12" t="s">
        <v>237</v>
      </c>
      <c r="E12" t="s">
        <v>34</v>
      </c>
      <c r="F12" s="2">
        <v>48</v>
      </c>
      <c r="G12" t="s">
        <v>344</v>
      </c>
      <c r="I12">
        <v>80</v>
      </c>
      <c r="J12">
        <v>12000</v>
      </c>
      <c r="K12" t="s">
        <v>16</v>
      </c>
      <c r="L12" t="s">
        <v>105</v>
      </c>
      <c r="M12" t="s">
        <v>349</v>
      </c>
      <c r="N12" t="s">
        <v>16</v>
      </c>
      <c r="P12">
        <f>COUNTIFS(E3:E100,E3,K3:K100,K3)</f>
        <v>28</v>
      </c>
    </row>
    <row r="13" spans="2:18" x14ac:dyDescent="0.25">
      <c r="B13" s="1">
        <v>10490</v>
      </c>
      <c r="C13" s="6">
        <v>45092</v>
      </c>
      <c r="D13" t="s">
        <v>238</v>
      </c>
      <c r="E13" t="s">
        <v>34</v>
      </c>
      <c r="F13" s="2">
        <v>45</v>
      </c>
      <c r="G13" t="s">
        <v>328</v>
      </c>
      <c r="I13">
        <v>80</v>
      </c>
      <c r="J13">
        <v>12000</v>
      </c>
      <c r="K13" t="s">
        <v>16</v>
      </c>
      <c r="L13" t="s">
        <v>25</v>
      </c>
    </row>
    <row r="14" spans="2:18" x14ac:dyDescent="0.25">
      <c r="B14" s="1">
        <v>10502</v>
      </c>
      <c r="C14" s="6">
        <v>45094</v>
      </c>
      <c r="D14" t="s">
        <v>239</v>
      </c>
      <c r="E14" t="s">
        <v>34</v>
      </c>
      <c r="F14" s="2">
        <v>56</v>
      </c>
      <c r="G14" t="s">
        <v>325</v>
      </c>
      <c r="I14">
        <v>80</v>
      </c>
      <c r="J14">
        <v>25600</v>
      </c>
      <c r="K14" t="s">
        <v>16</v>
      </c>
      <c r="L14" t="s">
        <v>25</v>
      </c>
    </row>
    <row r="15" spans="2:18" x14ac:dyDescent="0.25">
      <c r="B15" s="1">
        <v>10523</v>
      </c>
      <c r="C15" s="6">
        <v>45098</v>
      </c>
      <c r="D15" t="s">
        <v>240</v>
      </c>
      <c r="E15" t="s">
        <v>14</v>
      </c>
      <c r="F15" s="2">
        <v>47</v>
      </c>
      <c r="G15" t="s">
        <v>328</v>
      </c>
      <c r="H15">
        <v>400</v>
      </c>
      <c r="I15">
        <v>80</v>
      </c>
      <c r="J15">
        <v>32000</v>
      </c>
      <c r="K15" t="s">
        <v>21</v>
      </c>
      <c r="L15" t="s">
        <v>100</v>
      </c>
      <c r="M15">
        <f>SUMIF(E:E,E3,J:J)</f>
        <v>741228.79999999993</v>
      </c>
    </row>
    <row r="16" spans="2:18" x14ac:dyDescent="0.25">
      <c r="B16" s="1">
        <v>10525</v>
      </c>
      <c r="C16" s="6">
        <v>45099</v>
      </c>
      <c r="D16" t="s">
        <v>241</v>
      </c>
      <c r="E16" t="s">
        <v>14</v>
      </c>
      <c r="F16" s="2">
        <v>60</v>
      </c>
      <c r="G16" t="s">
        <v>325</v>
      </c>
      <c r="H16">
        <v>320</v>
      </c>
      <c r="I16">
        <v>80</v>
      </c>
      <c r="J16">
        <v>25536</v>
      </c>
      <c r="K16" t="s">
        <v>21</v>
      </c>
      <c r="L16" t="s">
        <v>100</v>
      </c>
    </row>
    <row r="17" spans="2:12" x14ac:dyDescent="0.25">
      <c r="B17" s="1">
        <v>10535</v>
      </c>
      <c r="C17" s="6">
        <v>45101</v>
      </c>
      <c r="D17" t="s">
        <v>242</v>
      </c>
      <c r="E17" t="s">
        <v>14</v>
      </c>
      <c r="F17" s="2">
        <v>44</v>
      </c>
      <c r="G17" t="s">
        <v>323</v>
      </c>
      <c r="H17">
        <v>400</v>
      </c>
      <c r="I17">
        <v>80</v>
      </c>
      <c r="J17">
        <v>31839.999999999996</v>
      </c>
      <c r="K17" t="s">
        <v>16</v>
      </c>
      <c r="L17" t="s">
        <v>25</v>
      </c>
    </row>
    <row r="18" spans="2:12" x14ac:dyDescent="0.25">
      <c r="B18" s="1">
        <v>10461</v>
      </c>
      <c r="C18" s="6">
        <v>45086</v>
      </c>
      <c r="D18" t="s">
        <v>243</v>
      </c>
      <c r="E18" t="s">
        <v>34</v>
      </c>
      <c r="F18" s="2">
        <v>57</v>
      </c>
      <c r="G18" t="s">
        <v>328</v>
      </c>
      <c r="H18">
        <v>400</v>
      </c>
      <c r="I18">
        <v>76</v>
      </c>
      <c r="J18">
        <v>30400.000000000007</v>
      </c>
      <c r="K18" t="s">
        <v>16</v>
      </c>
      <c r="L18" t="s">
        <v>100</v>
      </c>
    </row>
    <row r="19" spans="2:12" x14ac:dyDescent="0.25">
      <c r="B19" s="1">
        <v>10506</v>
      </c>
      <c r="C19" s="6">
        <v>45095</v>
      </c>
      <c r="D19" t="s">
        <v>244</v>
      </c>
      <c r="E19" t="s">
        <v>14</v>
      </c>
      <c r="F19" s="2">
        <v>56</v>
      </c>
      <c r="G19" t="s">
        <v>322</v>
      </c>
      <c r="H19">
        <v>150</v>
      </c>
      <c r="I19">
        <v>76</v>
      </c>
      <c r="J19">
        <v>11400.000000000002</v>
      </c>
      <c r="K19" t="s">
        <v>16</v>
      </c>
      <c r="L19" t="s">
        <v>25</v>
      </c>
    </row>
    <row r="20" spans="2:12" x14ac:dyDescent="0.25">
      <c r="B20" s="1">
        <v>10531</v>
      </c>
      <c r="C20" s="6">
        <v>45100</v>
      </c>
      <c r="D20" t="s">
        <v>245</v>
      </c>
      <c r="E20" t="s">
        <v>14</v>
      </c>
      <c r="F20" s="2">
        <v>53</v>
      </c>
      <c r="G20" t="s">
        <v>323</v>
      </c>
      <c r="H20">
        <v>400</v>
      </c>
      <c r="I20">
        <v>76</v>
      </c>
      <c r="J20">
        <v>30400.000000000007</v>
      </c>
      <c r="K20" t="s">
        <v>21</v>
      </c>
      <c r="L20" t="s">
        <v>100</v>
      </c>
    </row>
    <row r="21" spans="2:12" x14ac:dyDescent="0.25">
      <c r="B21" s="1">
        <v>10536</v>
      </c>
      <c r="C21" s="6">
        <v>45101</v>
      </c>
      <c r="D21" t="s">
        <v>246</v>
      </c>
      <c r="E21" t="s">
        <v>14</v>
      </c>
      <c r="F21" s="2">
        <v>45</v>
      </c>
      <c r="G21" t="s">
        <v>322</v>
      </c>
      <c r="H21">
        <v>150</v>
      </c>
      <c r="I21">
        <v>76</v>
      </c>
      <c r="J21">
        <v>11400.000000000002</v>
      </c>
      <c r="K21" t="s">
        <v>16</v>
      </c>
      <c r="L21" t="s">
        <v>25</v>
      </c>
    </row>
    <row r="22" spans="2:12" x14ac:dyDescent="0.25">
      <c r="B22" s="1">
        <v>10541</v>
      </c>
      <c r="C22" s="6">
        <v>45102</v>
      </c>
      <c r="D22" t="s">
        <v>247</v>
      </c>
      <c r="E22" t="s">
        <v>14</v>
      </c>
      <c r="F22" s="2">
        <v>68</v>
      </c>
      <c r="G22" t="s">
        <v>323</v>
      </c>
      <c r="H22">
        <v>320</v>
      </c>
      <c r="I22">
        <v>76</v>
      </c>
      <c r="J22">
        <v>24320.000000000004</v>
      </c>
      <c r="K22" t="s">
        <v>16</v>
      </c>
      <c r="L22" t="s">
        <v>128</v>
      </c>
    </row>
    <row r="23" spans="2:12" x14ac:dyDescent="0.25">
      <c r="B23" s="1">
        <v>10546</v>
      </c>
      <c r="C23" s="6">
        <v>45103</v>
      </c>
      <c r="D23" t="s">
        <v>248</v>
      </c>
      <c r="E23" t="s">
        <v>34</v>
      </c>
      <c r="F23" s="2">
        <v>54</v>
      </c>
      <c r="G23" t="s">
        <v>328</v>
      </c>
      <c r="H23">
        <v>320</v>
      </c>
      <c r="I23">
        <v>76</v>
      </c>
      <c r="J23">
        <v>24320.000000000004</v>
      </c>
      <c r="K23" t="s">
        <v>16</v>
      </c>
      <c r="L23" t="s">
        <v>128</v>
      </c>
    </row>
    <row r="24" spans="2:12" x14ac:dyDescent="0.25">
      <c r="B24" s="1">
        <v>10501</v>
      </c>
      <c r="C24" s="6">
        <v>45094</v>
      </c>
      <c r="D24" t="s">
        <v>249</v>
      </c>
      <c r="E24" t="s">
        <v>34</v>
      </c>
      <c r="F24" s="2">
        <v>40</v>
      </c>
      <c r="G24" t="s">
        <v>325</v>
      </c>
      <c r="H24">
        <v>320</v>
      </c>
      <c r="I24">
        <v>76</v>
      </c>
      <c r="J24">
        <v>24320</v>
      </c>
      <c r="K24" t="s">
        <v>16</v>
      </c>
      <c r="L24" t="s">
        <v>25</v>
      </c>
    </row>
    <row r="25" spans="2:12" x14ac:dyDescent="0.25">
      <c r="B25" s="1">
        <v>10456</v>
      </c>
      <c r="C25" s="6">
        <v>45085</v>
      </c>
      <c r="D25" t="s">
        <v>250</v>
      </c>
      <c r="E25" t="s">
        <v>34</v>
      </c>
      <c r="F25" s="2">
        <v>49</v>
      </c>
      <c r="G25" t="s">
        <v>344</v>
      </c>
      <c r="H25">
        <v>320</v>
      </c>
      <c r="I25">
        <v>75</v>
      </c>
      <c r="J25">
        <v>24000</v>
      </c>
      <c r="K25" t="s">
        <v>16</v>
      </c>
      <c r="L25" t="s">
        <v>81</v>
      </c>
    </row>
    <row r="26" spans="2:12" x14ac:dyDescent="0.25">
      <c r="B26" s="1">
        <v>10457</v>
      </c>
      <c r="C26" s="6">
        <v>45085</v>
      </c>
      <c r="D26" t="s">
        <v>251</v>
      </c>
      <c r="E26" t="s">
        <v>34</v>
      </c>
      <c r="F26" s="2">
        <v>49</v>
      </c>
      <c r="G26" t="s">
        <v>344</v>
      </c>
      <c r="H26">
        <v>400</v>
      </c>
      <c r="I26">
        <v>75</v>
      </c>
      <c r="J26">
        <v>30000</v>
      </c>
      <c r="K26" t="s">
        <v>16</v>
      </c>
      <c r="L26" t="s">
        <v>100</v>
      </c>
    </row>
    <row r="27" spans="2:12" x14ac:dyDescent="0.25">
      <c r="B27" s="1">
        <v>10463</v>
      </c>
      <c r="C27" s="6">
        <v>45086</v>
      </c>
      <c r="D27" t="s">
        <v>252</v>
      </c>
      <c r="E27" t="s">
        <v>14</v>
      </c>
      <c r="F27" s="2">
        <v>48</v>
      </c>
      <c r="G27" t="s">
        <v>328</v>
      </c>
      <c r="H27">
        <v>150</v>
      </c>
      <c r="I27">
        <v>75</v>
      </c>
      <c r="J27">
        <v>11250</v>
      </c>
      <c r="K27" t="s">
        <v>16</v>
      </c>
      <c r="L27" t="s">
        <v>100</v>
      </c>
    </row>
    <row r="28" spans="2:12" x14ac:dyDescent="0.25">
      <c r="B28" s="1">
        <v>10468</v>
      </c>
      <c r="C28" s="6">
        <v>45087</v>
      </c>
      <c r="D28" t="s">
        <v>253</v>
      </c>
      <c r="E28" t="s">
        <v>14</v>
      </c>
      <c r="F28" s="2">
        <v>67</v>
      </c>
      <c r="G28" t="s">
        <v>322</v>
      </c>
      <c r="H28">
        <v>150</v>
      </c>
      <c r="I28">
        <v>75</v>
      </c>
      <c r="J28">
        <v>11250</v>
      </c>
      <c r="K28" t="s">
        <v>16</v>
      </c>
      <c r="L28" t="s">
        <v>25</v>
      </c>
    </row>
    <row r="29" spans="2:12" x14ac:dyDescent="0.25">
      <c r="B29" s="1">
        <v>10470</v>
      </c>
      <c r="C29" s="6">
        <v>45088</v>
      </c>
      <c r="D29" t="s">
        <v>254</v>
      </c>
      <c r="E29" t="s">
        <v>34</v>
      </c>
      <c r="F29" s="2">
        <v>59</v>
      </c>
      <c r="G29" t="s">
        <v>322</v>
      </c>
      <c r="H29">
        <v>250</v>
      </c>
      <c r="I29">
        <v>75</v>
      </c>
      <c r="J29">
        <v>18750</v>
      </c>
      <c r="K29" t="s">
        <v>16</v>
      </c>
      <c r="L29" t="s">
        <v>25</v>
      </c>
    </row>
    <row r="30" spans="2:12" x14ac:dyDescent="0.25">
      <c r="B30" s="1">
        <v>10473</v>
      </c>
      <c r="C30" s="6">
        <v>45088</v>
      </c>
      <c r="D30" t="s">
        <v>255</v>
      </c>
      <c r="E30" t="s">
        <v>34</v>
      </c>
      <c r="F30" s="2">
        <v>63</v>
      </c>
      <c r="G30" t="s">
        <v>344</v>
      </c>
      <c r="H30">
        <v>250</v>
      </c>
      <c r="I30">
        <v>75</v>
      </c>
      <c r="J30">
        <v>18750</v>
      </c>
      <c r="K30" t="s">
        <v>16</v>
      </c>
      <c r="L30" t="s">
        <v>25</v>
      </c>
    </row>
    <row r="31" spans="2:12" x14ac:dyDescent="0.25">
      <c r="B31" s="1">
        <v>10478</v>
      </c>
      <c r="C31" s="6">
        <v>45089</v>
      </c>
      <c r="D31" t="s">
        <v>256</v>
      </c>
      <c r="E31" t="s">
        <v>34</v>
      </c>
      <c r="F31" s="2">
        <v>62</v>
      </c>
      <c r="G31" t="s">
        <v>328</v>
      </c>
      <c r="H31">
        <v>250</v>
      </c>
      <c r="I31">
        <v>75</v>
      </c>
      <c r="J31">
        <v>18750</v>
      </c>
      <c r="K31" t="s">
        <v>16</v>
      </c>
      <c r="L31" t="s">
        <v>25</v>
      </c>
    </row>
    <row r="32" spans="2:12" x14ac:dyDescent="0.25">
      <c r="B32" s="1">
        <v>10481</v>
      </c>
      <c r="C32" s="6">
        <v>45090</v>
      </c>
      <c r="D32" t="s">
        <v>256</v>
      </c>
      <c r="E32" t="s">
        <v>34</v>
      </c>
      <c r="F32" s="2">
        <v>67</v>
      </c>
      <c r="G32" t="s">
        <v>325</v>
      </c>
      <c r="H32">
        <v>250</v>
      </c>
      <c r="I32">
        <v>75</v>
      </c>
      <c r="J32">
        <v>18750</v>
      </c>
      <c r="K32" t="s">
        <v>16</v>
      </c>
      <c r="L32" t="s">
        <v>25</v>
      </c>
    </row>
    <row r="33" spans="2:12" x14ac:dyDescent="0.25">
      <c r="B33" s="1">
        <v>10481</v>
      </c>
      <c r="C33" s="6">
        <v>45090</v>
      </c>
      <c r="D33" t="s">
        <v>257</v>
      </c>
      <c r="E33" t="s">
        <v>34</v>
      </c>
      <c r="F33" s="2">
        <v>67</v>
      </c>
      <c r="G33" t="s">
        <v>325</v>
      </c>
      <c r="H33">
        <v>400</v>
      </c>
      <c r="I33">
        <v>75</v>
      </c>
      <c r="J33">
        <v>30000</v>
      </c>
      <c r="K33" t="s">
        <v>16</v>
      </c>
      <c r="L33" t="s">
        <v>25</v>
      </c>
    </row>
    <row r="34" spans="2:12" x14ac:dyDescent="0.25">
      <c r="B34" s="1">
        <v>10510</v>
      </c>
      <c r="C34" s="6">
        <v>45096</v>
      </c>
      <c r="D34" t="s">
        <v>258</v>
      </c>
      <c r="E34" t="s">
        <v>14</v>
      </c>
      <c r="F34" s="2">
        <v>60</v>
      </c>
      <c r="G34" t="s">
        <v>345</v>
      </c>
      <c r="H34">
        <v>150</v>
      </c>
      <c r="I34">
        <v>75</v>
      </c>
      <c r="J34">
        <v>11250</v>
      </c>
      <c r="K34" t="s">
        <v>16</v>
      </c>
      <c r="L34" t="s">
        <v>25</v>
      </c>
    </row>
    <row r="35" spans="2:12" x14ac:dyDescent="0.25">
      <c r="B35" s="1">
        <v>10529</v>
      </c>
      <c r="C35" s="6">
        <v>45099</v>
      </c>
      <c r="D35" t="s">
        <v>259</v>
      </c>
      <c r="E35" t="s">
        <v>14</v>
      </c>
      <c r="F35" s="2">
        <v>62</v>
      </c>
      <c r="G35" t="s">
        <v>323</v>
      </c>
      <c r="H35">
        <v>320</v>
      </c>
      <c r="I35">
        <v>74</v>
      </c>
      <c r="J35">
        <v>23673.600000000002</v>
      </c>
      <c r="K35" t="s">
        <v>21</v>
      </c>
      <c r="L35" t="s">
        <v>100</v>
      </c>
    </row>
    <row r="36" spans="2:12" x14ac:dyDescent="0.25">
      <c r="B36" s="1">
        <v>10476</v>
      </c>
      <c r="C36" s="6">
        <v>45089</v>
      </c>
      <c r="D36" t="s">
        <v>260</v>
      </c>
      <c r="E36" t="s">
        <v>34</v>
      </c>
      <c r="F36" s="2">
        <v>52</v>
      </c>
      <c r="G36" t="s">
        <v>322</v>
      </c>
      <c r="H36">
        <v>250</v>
      </c>
      <c r="I36">
        <v>70</v>
      </c>
      <c r="J36">
        <v>17500</v>
      </c>
      <c r="K36" t="s">
        <v>16</v>
      </c>
      <c r="L36" t="s">
        <v>25</v>
      </c>
    </row>
    <row r="37" spans="2:12" x14ac:dyDescent="0.25">
      <c r="B37" s="1">
        <v>10487</v>
      </c>
      <c r="C37" s="6">
        <v>45091</v>
      </c>
      <c r="D37" t="s">
        <v>261</v>
      </c>
      <c r="E37" t="s">
        <v>34</v>
      </c>
      <c r="F37" s="2">
        <v>41</v>
      </c>
      <c r="G37" t="s">
        <v>344</v>
      </c>
      <c r="H37">
        <v>320</v>
      </c>
      <c r="I37">
        <v>70</v>
      </c>
      <c r="J37">
        <v>22400</v>
      </c>
      <c r="K37" t="s">
        <v>16</v>
      </c>
      <c r="L37" t="s">
        <v>105</v>
      </c>
    </row>
    <row r="38" spans="2:12" x14ac:dyDescent="0.25">
      <c r="B38" s="1">
        <v>10509</v>
      </c>
      <c r="C38" s="6">
        <v>45095</v>
      </c>
      <c r="D38" t="s">
        <v>262</v>
      </c>
      <c r="E38" t="s">
        <v>14</v>
      </c>
      <c r="F38" s="2">
        <v>51</v>
      </c>
      <c r="G38" t="s">
        <v>322</v>
      </c>
      <c r="H38">
        <v>320</v>
      </c>
      <c r="I38">
        <v>70</v>
      </c>
      <c r="J38">
        <v>22400</v>
      </c>
      <c r="K38" t="s">
        <v>16</v>
      </c>
      <c r="L38" t="s">
        <v>25</v>
      </c>
    </row>
    <row r="39" spans="2:12" x14ac:dyDescent="0.25">
      <c r="B39" s="1">
        <v>10500</v>
      </c>
      <c r="C39" s="6">
        <v>45094</v>
      </c>
      <c r="D39" t="s">
        <v>263</v>
      </c>
      <c r="E39" t="s">
        <v>34</v>
      </c>
      <c r="F39" s="2">
        <v>54</v>
      </c>
      <c r="G39" t="s">
        <v>325</v>
      </c>
      <c r="H39">
        <v>400</v>
      </c>
      <c r="I39">
        <v>67</v>
      </c>
      <c r="J39">
        <v>26800</v>
      </c>
      <c r="K39" t="s">
        <v>16</v>
      </c>
      <c r="L39" t="s">
        <v>25</v>
      </c>
    </row>
    <row r="40" spans="2:12" x14ac:dyDescent="0.25">
      <c r="B40" s="1">
        <v>10515</v>
      </c>
      <c r="C40" s="6">
        <v>45097</v>
      </c>
      <c r="D40" t="s">
        <v>264</v>
      </c>
      <c r="E40" t="s">
        <v>14</v>
      </c>
      <c r="F40" s="2">
        <v>58</v>
      </c>
      <c r="G40" t="s">
        <v>345</v>
      </c>
      <c r="H40">
        <v>150</v>
      </c>
      <c r="I40">
        <v>63</v>
      </c>
      <c r="J40">
        <v>9450</v>
      </c>
      <c r="K40" t="s">
        <v>21</v>
      </c>
      <c r="L40" t="s">
        <v>105</v>
      </c>
    </row>
    <row r="41" spans="2:12" x14ac:dyDescent="0.25">
      <c r="B41" s="1">
        <v>10516</v>
      </c>
      <c r="C41" s="6">
        <v>45097</v>
      </c>
      <c r="D41" t="s">
        <v>265</v>
      </c>
      <c r="E41" t="s">
        <v>14</v>
      </c>
      <c r="F41" s="2">
        <v>55</v>
      </c>
      <c r="G41" t="s">
        <v>345</v>
      </c>
      <c r="H41">
        <v>320</v>
      </c>
      <c r="I41">
        <v>63</v>
      </c>
      <c r="J41">
        <v>20160</v>
      </c>
      <c r="K41" t="s">
        <v>21</v>
      </c>
      <c r="L41" t="s">
        <v>105</v>
      </c>
    </row>
    <row r="42" spans="2:12" x14ac:dyDescent="0.25">
      <c r="B42" s="1">
        <v>10483</v>
      </c>
      <c r="C42" s="6">
        <v>45090</v>
      </c>
      <c r="D42" t="s">
        <v>266</v>
      </c>
      <c r="E42" t="s">
        <v>14</v>
      </c>
      <c r="F42" s="2">
        <v>52</v>
      </c>
      <c r="G42" t="s">
        <v>345</v>
      </c>
      <c r="H42">
        <v>150</v>
      </c>
      <c r="I42">
        <v>63</v>
      </c>
      <c r="J42">
        <v>9450</v>
      </c>
      <c r="K42" t="s">
        <v>16</v>
      </c>
      <c r="L42" t="s">
        <v>105</v>
      </c>
    </row>
    <row r="43" spans="2:12" x14ac:dyDescent="0.25">
      <c r="B43" s="1">
        <v>10468</v>
      </c>
      <c r="C43" s="6">
        <v>45087</v>
      </c>
      <c r="D43" t="s">
        <v>267</v>
      </c>
      <c r="E43" t="s">
        <v>34</v>
      </c>
      <c r="F43" s="2">
        <v>53</v>
      </c>
      <c r="G43" t="s">
        <v>322</v>
      </c>
      <c r="H43">
        <v>400</v>
      </c>
      <c r="I43">
        <v>60</v>
      </c>
      <c r="J43">
        <v>24000</v>
      </c>
      <c r="K43" t="s">
        <v>16</v>
      </c>
      <c r="L43" t="s">
        <v>25</v>
      </c>
    </row>
    <row r="44" spans="2:12" x14ac:dyDescent="0.25">
      <c r="B44" s="1">
        <v>10475</v>
      </c>
      <c r="C44" s="6">
        <v>45089</v>
      </c>
      <c r="D44" t="s">
        <v>268</v>
      </c>
      <c r="E44" t="s">
        <v>34</v>
      </c>
      <c r="F44" s="2">
        <v>46</v>
      </c>
      <c r="G44" t="s">
        <v>322</v>
      </c>
      <c r="H44">
        <v>320</v>
      </c>
      <c r="I44">
        <v>60</v>
      </c>
      <c r="J44">
        <v>19200</v>
      </c>
      <c r="K44" t="s">
        <v>16</v>
      </c>
      <c r="L44" t="s">
        <v>25</v>
      </c>
    </row>
    <row r="45" spans="2:12" x14ac:dyDescent="0.25">
      <c r="B45" s="1">
        <v>10480</v>
      </c>
      <c r="C45" s="6">
        <v>45090</v>
      </c>
      <c r="D45" t="s">
        <v>269</v>
      </c>
      <c r="E45" t="s">
        <v>34</v>
      </c>
      <c r="F45" s="2">
        <v>52</v>
      </c>
      <c r="G45" t="s">
        <v>325</v>
      </c>
      <c r="H45">
        <v>250</v>
      </c>
      <c r="I45">
        <v>60</v>
      </c>
      <c r="J45">
        <v>15000</v>
      </c>
      <c r="K45" t="s">
        <v>16</v>
      </c>
      <c r="L45" t="s">
        <v>25</v>
      </c>
    </row>
    <row r="46" spans="2:12" x14ac:dyDescent="0.25">
      <c r="B46" s="1">
        <v>10495</v>
      </c>
      <c r="C46" s="6">
        <v>45093</v>
      </c>
      <c r="D46" t="s">
        <v>270</v>
      </c>
      <c r="E46" t="s">
        <v>34</v>
      </c>
      <c r="F46" s="2">
        <v>61</v>
      </c>
      <c r="G46" t="s">
        <v>344</v>
      </c>
      <c r="H46">
        <v>150</v>
      </c>
      <c r="I46">
        <v>60</v>
      </c>
      <c r="J46">
        <v>9000</v>
      </c>
      <c r="K46" t="s">
        <v>16</v>
      </c>
      <c r="L46" t="s">
        <v>25</v>
      </c>
    </row>
    <row r="47" spans="2:12" x14ac:dyDescent="0.25">
      <c r="B47" s="1">
        <v>10484</v>
      </c>
      <c r="C47" s="6">
        <v>45090</v>
      </c>
      <c r="D47" t="s">
        <v>271</v>
      </c>
      <c r="E47" t="s">
        <v>14</v>
      </c>
      <c r="F47" s="2">
        <v>44</v>
      </c>
      <c r="G47" t="s">
        <v>345</v>
      </c>
      <c r="H47">
        <v>150</v>
      </c>
      <c r="I47">
        <v>60</v>
      </c>
      <c r="J47">
        <v>9000</v>
      </c>
      <c r="K47" t="s">
        <v>16</v>
      </c>
      <c r="L47" t="s">
        <v>105</v>
      </c>
    </row>
    <row r="48" spans="2:12" x14ac:dyDescent="0.25">
      <c r="B48" s="1">
        <v>10543</v>
      </c>
      <c r="C48" s="6">
        <v>45102</v>
      </c>
      <c r="D48" t="s">
        <v>272</v>
      </c>
      <c r="E48" t="s">
        <v>14</v>
      </c>
      <c r="F48" s="2">
        <v>55</v>
      </c>
      <c r="G48" t="s">
        <v>343</v>
      </c>
      <c r="H48">
        <v>400</v>
      </c>
      <c r="I48">
        <v>60</v>
      </c>
      <c r="J48">
        <v>23920</v>
      </c>
      <c r="K48" t="s">
        <v>16</v>
      </c>
      <c r="L48" t="s">
        <v>128</v>
      </c>
    </row>
    <row r="49" spans="2:12" x14ac:dyDescent="0.25">
      <c r="B49" s="1">
        <v>10466</v>
      </c>
      <c r="C49" s="6">
        <v>45087</v>
      </c>
      <c r="D49" t="s">
        <v>273</v>
      </c>
      <c r="E49" t="s">
        <v>34</v>
      </c>
      <c r="F49" s="2">
        <v>37</v>
      </c>
      <c r="G49" t="s">
        <v>322</v>
      </c>
      <c r="H49">
        <v>250</v>
      </c>
      <c r="I49">
        <v>50</v>
      </c>
      <c r="J49">
        <v>12500</v>
      </c>
      <c r="K49" t="s">
        <v>16</v>
      </c>
      <c r="L49" t="s">
        <v>25</v>
      </c>
    </row>
    <row r="50" spans="2:12" x14ac:dyDescent="0.25">
      <c r="B50" s="1">
        <v>10467</v>
      </c>
      <c r="C50" s="6">
        <v>45087</v>
      </c>
      <c r="D50" t="s">
        <v>274</v>
      </c>
      <c r="E50" t="s">
        <v>34</v>
      </c>
      <c r="F50" s="2">
        <v>39</v>
      </c>
      <c r="G50" t="s">
        <v>322</v>
      </c>
      <c r="H50">
        <v>400</v>
      </c>
      <c r="I50">
        <v>50</v>
      </c>
      <c r="J50">
        <v>20000</v>
      </c>
      <c r="K50" t="s">
        <v>16</v>
      </c>
      <c r="L50" t="s">
        <v>25</v>
      </c>
    </row>
    <row r="51" spans="2:12" x14ac:dyDescent="0.25">
      <c r="B51" s="1">
        <v>10532</v>
      </c>
      <c r="C51" s="6">
        <v>45100</v>
      </c>
      <c r="D51" t="s">
        <v>275</v>
      </c>
      <c r="E51" t="s">
        <v>14</v>
      </c>
      <c r="F51" s="2">
        <v>28</v>
      </c>
      <c r="G51" t="s">
        <v>323</v>
      </c>
      <c r="H51">
        <v>400</v>
      </c>
      <c r="I51">
        <v>46</v>
      </c>
      <c r="J51">
        <v>18240</v>
      </c>
      <c r="K51" t="s">
        <v>21</v>
      </c>
      <c r="L51" t="s">
        <v>105</v>
      </c>
    </row>
    <row r="52" spans="2:12" x14ac:dyDescent="0.25">
      <c r="B52" s="1">
        <v>10533</v>
      </c>
      <c r="C52" s="6">
        <v>45100</v>
      </c>
      <c r="D52" t="s">
        <v>276</v>
      </c>
      <c r="E52" t="s">
        <v>14</v>
      </c>
      <c r="F52" s="2">
        <v>37</v>
      </c>
      <c r="G52" t="s">
        <v>323</v>
      </c>
      <c r="H52">
        <v>400</v>
      </c>
      <c r="I52">
        <v>46</v>
      </c>
      <c r="J52">
        <v>18240</v>
      </c>
      <c r="K52" t="s">
        <v>21</v>
      </c>
      <c r="L52" t="s">
        <v>105</v>
      </c>
    </row>
    <row r="53" spans="2:12" x14ac:dyDescent="0.25">
      <c r="B53" s="1">
        <v>10527</v>
      </c>
      <c r="C53" s="6">
        <v>45099</v>
      </c>
      <c r="D53" t="s">
        <v>277</v>
      </c>
      <c r="E53" t="s">
        <v>14</v>
      </c>
      <c r="F53" s="2">
        <v>33</v>
      </c>
      <c r="G53" t="s">
        <v>323</v>
      </c>
      <c r="H53">
        <v>400</v>
      </c>
      <c r="I53">
        <v>45</v>
      </c>
      <c r="J53">
        <v>18000</v>
      </c>
      <c r="K53" t="s">
        <v>21</v>
      </c>
      <c r="L53" t="s">
        <v>100</v>
      </c>
    </row>
    <row r="54" spans="2:12" x14ac:dyDescent="0.25">
      <c r="B54" s="1">
        <v>10528</v>
      </c>
      <c r="C54" s="6">
        <v>45099</v>
      </c>
      <c r="D54" t="s">
        <v>278</v>
      </c>
      <c r="E54" t="s">
        <v>14</v>
      </c>
      <c r="F54" s="2">
        <v>49</v>
      </c>
      <c r="G54" t="s">
        <v>323</v>
      </c>
      <c r="H54">
        <v>150</v>
      </c>
      <c r="I54">
        <v>45</v>
      </c>
      <c r="J54">
        <v>6750</v>
      </c>
      <c r="K54" t="s">
        <v>21</v>
      </c>
      <c r="L54" t="s">
        <v>100</v>
      </c>
    </row>
    <row r="55" spans="2:12" x14ac:dyDescent="0.25">
      <c r="B55" s="1">
        <v>10496</v>
      </c>
      <c r="C55" s="6">
        <v>45093</v>
      </c>
      <c r="D55" t="s">
        <v>279</v>
      </c>
      <c r="E55" t="s">
        <v>34</v>
      </c>
      <c r="F55" s="2">
        <v>25</v>
      </c>
      <c r="G55" t="s">
        <v>344</v>
      </c>
      <c r="H55">
        <v>150</v>
      </c>
      <c r="I55">
        <v>44</v>
      </c>
      <c r="J55">
        <v>6600</v>
      </c>
      <c r="K55" t="s">
        <v>16</v>
      </c>
      <c r="L55" t="s">
        <v>25</v>
      </c>
    </row>
    <row r="56" spans="2:12" x14ac:dyDescent="0.25">
      <c r="B56" s="1">
        <v>10498</v>
      </c>
      <c r="C56" s="6">
        <v>45093</v>
      </c>
      <c r="D56" t="s">
        <v>280</v>
      </c>
      <c r="E56" t="s">
        <v>34</v>
      </c>
      <c r="F56" s="2">
        <v>36</v>
      </c>
      <c r="G56" t="s">
        <v>344</v>
      </c>
      <c r="H56">
        <v>150</v>
      </c>
      <c r="I56">
        <v>44</v>
      </c>
      <c r="J56">
        <v>6600</v>
      </c>
      <c r="K56" t="s">
        <v>16</v>
      </c>
      <c r="L56" t="s">
        <v>25</v>
      </c>
    </row>
    <row r="57" spans="2:12" x14ac:dyDescent="0.25">
      <c r="B57" s="1">
        <v>10512</v>
      </c>
      <c r="C57" s="6">
        <v>45096</v>
      </c>
      <c r="D57" t="s">
        <v>281</v>
      </c>
      <c r="E57" t="s">
        <v>14</v>
      </c>
      <c r="F57" s="2">
        <v>37</v>
      </c>
      <c r="G57" t="s">
        <v>345</v>
      </c>
      <c r="H57">
        <v>320</v>
      </c>
      <c r="I57">
        <v>43</v>
      </c>
      <c r="J57">
        <v>13760</v>
      </c>
      <c r="K57" t="s">
        <v>16</v>
      </c>
      <c r="L57" t="s">
        <v>105</v>
      </c>
    </row>
    <row r="58" spans="2:12" x14ac:dyDescent="0.25">
      <c r="B58" s="1">
        <v>10513</v>
      </c>
      <c r="C58" s="6">
        <v>45096</v>
      </c>
      <c r="D58" t="s">
        <v>282</v>
      </c>
      <c r="E58" t="s">
        <v>14</v>
      </c>
      <c r="F58" s="2">
        <v>51</v>
      </c>
      <c r="G58" t="s">
        <v>345</v>
      </c>
      <c r="H58">
        <v>250</v>
      </c>
      <c r="I58">
        <v>42</v>
      </c>
      <c r="J58">
        <v>10500</v>
      </c>
      <c r="K58" t="s">
        <v>21</v>
      </c>
      <c r="L58" t="s">
        <v>105</v>
      </c>
    </row>
    <row r="59" spans="2:12" x14ac:dyDescent="0.25">
      <c r="B59" s="1">
        <v>10474</v>
      </c>
      <c r="C59" s="6">
        <v>45088</v>
      </c>
      <c r="D59" t="s">
        <v>283</v>
      </c>
      <c r="E59" t="s">
        <v>34</v>
      </c>
      <c r="F59" s="2">
        <v>21</v>
      </c>
      <c r="G59" t="s">
        <v>344</v>
      </c>
      <c r="H59">
        <v>150</v>
      </c>
      <c r="I59">
        <v>40</v>
      </c>
      <c r="J59">
        <v>6000</v>
      </c>
      <c r="K59" t="s">
        <v>16</v>
      </c>
      <c r="L59" t="s">
        <v>25</v>
      </c>
    </row>
    <row r="60" spans="2:12" x14ac:dyDescent="0.25">
      <c r="B60" s="1">
        <v>10479</v>
      </c>
      <c r="C60" s="6">
        <v>45089</v>
      </c>
      <c r="D60" t="s">
        <v>284</v>
      </c>
      <c r="E60" t="s">
        <v>34</v>
      </c>
      <c r="F60" s="2">
        <v>37</v>
      </c>
      <c r="G60" t="s">
        <v>328</v>
      </c>
      <c r="H60">
        <v>250</v>
      </c>
      <c r="I60">
        <v>40</v>
      </c>
      <c r="J60">
        <v>10000</v>
      </c>
      <c r="K60" t="s">
        <v>16</v>
      </c>
      <c r="L60" t="s">
        <v>25</v>
      </c>
    </row>
    <row r="61" spans="2:12" x14ac:dyDescent="0.25">
      <c r="B61" s="1">
        <v>10488</v>
      </c>
      <c r="C61" s="6">
        <v>45091</v>
      </c>
      <c r="D61" t="s">
        <v>285</v>
      </c>
      <c r="E61" t="s">
        <v>34</v>
      </c>
      <c r="F61" s="2">
        <v>24</v>
      </c>
      <c r="G61" t="s">
        <v>344</v>
      </c>
      <c r="H61">
        <v>150</v>
      </c>
      <c r="I61">
        <v>40</v>
      </c>
      <c r="J61">
        <v>6000</v>
      </c>
      <c r="K61" t="s">
        <v>16</v>
      </c>
      <c r="L61" t="s">
        <v>105</v>
      </c>
    </row>
    <row r="62" spans="2:12" x14ac:dyDescent="0.25">
      <c r="B62" s="1">
        <v>10526</v>
      </c>
      <c r="C62" s="6">
        <v>45099</v>
      </c>
      <c r="D62" t="s">
        <v>286</v>
      </c>
      <c r="E62" t="s">
        <v>14</v>
      </c>
      <c r="F62" s="2">
        <v>24</v>
      </c>
      <c r="G62" t="s">
        <v>323</v>
      </c>
      <c r="H62">
        <v>400</v>
      </c>
      <c r="I62">
        <v>40</v>
      </c>
      <c r="J62">
        <v>15919.999999999998</v>
      </c>
      <c r="K62" t="s">
        <v>21</v>
      </c>
      <c r="L62" t="s">
        <v>100</v>
      </c>
    </row>
    <row r="63" spans="2:12" x14ac:dyDescent="0.25">
      <c r="B63" s="1">
        <v>10548</v>
      </c>
      <c r="C63" s="6">
        <v>45103</v>
      </c>
      <c r="D63" t="s">
        <v>287</v>
      </c>
      <c r="E63" t="s">
        <v>34</v>
      </c>
      <c r="F63" s="2">
        <v>21</v>
      </c>
      <c r="G63" t="s">
        <v>343</v>
      </c>
      <c r="H63">
        <v>150</v>
      </c>
      <c r="I63">
        <v>40</v>
      </c>
      <c r="J63">
        <v>5970</v>
      </c>
      <c r="K63" t="s">
        <v>16</v>
      </c>
      <c r="L63" t="s">
        <v>128</v>
      </c>
    </row>
    <row r="64" spans="2:12" x14ac:dyDescent="0.25">
      <c r="B64" s="1">
        <v>10508</v>
      </c>
      <c r="C64" s="6">
        <v>45095</v>
      </c>
      <c r="D64" t="s">
        <v>288</v>
      </c>
      <c r="E64" t="s">
        <v>14</v>
      </c>
      <c r="F64" s="2">
        <v>39</v>
      </c>
      <c r="G64" t="s">
        <v>322</v>
      </c>
      <c r="H64">
        <v>150</v>
      </c>
      <c r="I64">
        <v>39</v>
      </c>
      <c r="J64">
        <v>5850</v>
      </c>
      <c r="K64" t="s">
        <v>16</v>
      </c>
      <c r="L64" t="s">
        <v>25</v>
      </c>
    </row>
    <row r="65" spans="2:12" x14ac:dyDescent="0.25">
      <c r="B65" s="1">
        <v>10485</v>
      </c>
      <c r="C65" s="6">
        <v>45091</v>
      </c>
      <c r="D65" t="s">
        <v>289</v>
      </c>
      <c r="E65" t="s">
        <v>34</v>
      </c>
      <c r="F65" s="2">
        <v>35</v>
      </c>
      <c r="G65" t="s">
        <v>344</v>
      </c>
      <c r="H65">
        <v>400</v>
      </c>
      <c r="I65">
        <v>38</v>
      </c>
      <c r="J65">
        <v>15200</v>
      </c>
      <c r="K65" t="s">
        <v>16</v>
      </c>
      <c r="L65" t="s">
        <v>105</v>
      </c>
    </row>
    <row r="66" spans="2:12" x14ac:dyDescent="0.25">
      <c r="B66" s="1">
        <v>10505</v>
      </c>
      <c r="C66" s="6">
        <v>45095</v>
      </c>
      <c r="D66" t="s">
        <v>290</v>
      </c>
      <c r="E66" t="s">
        <v>14</v>
      </c>
      <c r="F66" s="2">
        <v>35</v>
      </c>
      <c r="G66" t="s">
        <v>322</v>
      </c>
      <c r="H66">
        <v>250</v>
      </c>
      <c r="I66">
        <v>38</v>
      </c>
      <c r="J66">
        <v>9500</v>
      </c>
      <c r="K66" t="s">
        <v>16</v>
      </c>
      <c r="L66" t="s">
        <v>25</v>
      </c>
    </row>
    <row r="67" spans="2:12" x14ac:dyDescent="0.25">
      <c r="B67" s="1">
        <v>10524</v>
      </c>
      <c r="C67" s="6">
        <v>45098</v>
      </c>
      <c r="D67" t="s">
        <v>291</v>
      </c>
      <c r="E67" t="s">
        <v>14</v>
      </c>
      <c r="F67" s="2">
        <v>46</v>
      </c>
      <c r="G67" t="s">
        <v>328</v>
      </c>
      <c r="H67">
        <v>150</v>
      </c>
      <c r="I67">
        <v>38</v>
      </c>
      <c r="J67">
        <v>5700</v>
      </c>
      <c r="K67" t="s">
        <v>21</v>
      </c>
      <c r="L67" t="s">
        <v>100</v>
      </c>
    </row>
    <row r="68" spans="2:12" x14ac:dyDescent="0.25">
      <c r="B68" s="1">
        <v>10459</v>
      </c>
      <c r="C68" s="6">
        <v>45085</v>
      </c>
      <c r="D68" t="s">
        <v>292</v>
      </c>
      <c r="E68" t="s">
        <v>14</v>
      </c>
      <c r="F68" s="2">
        <v>31</v>
      </c>
      <c r="G68" t="s">
        <v>325</v>
      </c>
      <c r="H68">
        <v>150</v>
      </c>
      <c r="I68">
        <v>38</v>
      </c>
      <c r="J68">
        <v>5699.9999999999991</v>
      </c>
      <c r="K68" t="s">
        <v>16</v>
      </c>
      <c r="L68" t="s">
        <v>81</v>
      </c>
    </row>
    <row r="69" spans="2:12" x14ac:dyDescent="0.25">
      <c r="B69" s="1">
        <v>10494</v>
      </c>
      <c r="C69" s="6">
        <v>45092</v>
      </c>
      <c r="D69" t="s">
        <v>293</v>
      </c>
      <c r="E69" t="s">
        <v>34</v>
      </c>
      <c r="F69" s="2">
        <v>23</v>
      </c>
      <c r="G69" t="s">
        <v>344</v>
      </c>
      <c r="H69">
        <v>320</v>
      </c>
      <c r="I69">
        <v>38</v>
      </c>
      <c r="J69">
        <v>12159.999999999998</v>
      </c>
      <c r="K69" t="s">
        <v>16</v>
      </c>
      <c r="L69" t="s">
        <v>25</v>
      </c>
    </row>
    <row r="70" spans="2:12" x14ac:dyDescent="0.25">
      <c r="B70" s="1">
        <v>10504</v>
      </c>
      <c r="C70" s="6">
        <v>45094</v>
      </c>
      <c r="D70" t="s">
        <v>294</v>
      </c>
      <c r="E70" t="s">
        <v>34</v>
      </c>
      <c r="F70" s="2">
        <v>23</v>
      </c>
      <c r="G70" t="s">
        <v>322</v>
      </c>
      <c r="H70">
        <v>320</v>
      </c>
      <c r="I70">
        <v>38</v>
      </c>
      <c r="J70">
        <v>12159.999999999998</v>
      </c>
      <c r="K70" t="s">
        <v>16</v>
      </c>
      <c r="L70" t="s">
        <v>25</v>
      </c>
    </row>
    <row r="71" spans="2:12" x14ac:dyDescent="0.25">
      <c r="B71" s="1">
        <v>10514</v>
      </c>
      <c r="C71" s="6">
        <v>45096</v>
      </c>
      <c r="D71" t="s">
        <v>295</v>
      </c>
      <c r="E71" t="s">
        <v>14</v>
      </c>
      <c r="F71" s="2">
        <v>21</v>
      </c>
      <c r="G71" t="s">
        <v>345</v>
      </c>
      <c r="H71">
        <v>150</v>
      </c>
      <c r="I71">
        <v>38</v>
      </c>
      <c r="J71">
        <v>5699.9999999999991</v>
      </c>
      <c r="K71" t="s">
        <v>21</v>
      </c>
      <c r="L71" t="s">
        <v>105</v>
      </c>
    </row>
    <row r="72" spans="2:12" x14ac:dyDescent="0.25">
      <c r="B72" s="1">
        <v>10539</v>
      </c>
      <c r="C72" s="6">
        <v>45101</v>
      </c>
      <c r="D72" t="s">
        <v>296</v>
      </c>
      <c r="E72" t="s">
        <v>14</v>
      </c>
      <c r="F72" s="2">
        <v>55</v>
      </c>
      <c r="G72" t="s">
        <v>343</v>
      </c>
      <c r="H72">
        <v>320</v>
      </c>
      <c r="I72">
        <v>38</v>
      </c>
      <c r="J72">
        <v>12159.999999999998</v>
      </c>
      <c r="K72" t="s">
        <v>16</v>
      </c>
      <c r="L72" t="s">
        <v>25</v>
      </c>
    </row>
    <row r="73" spans="2:12" x14ac:dyDescent="0.25">
      <c r="B73" s="1">
        <v>10544</v>
      </c>
      <c r="C73" s="6">
        <v>45102</v>
      </c>
      <c r="D73" t="s">
        <v>297</v>
      </c>
      <c r="E73" t="s">
        <v>14</v>
      </c>
      <c r="F73" s="2">
        <v>43</v>
      </c>
      <c r="G73" t="s">
        <v>323</v>
      </c>
      <c r="H73">
        <v>150</v>
      </c>
      <c r="I73">
        <v>38</v>
      </c>
      <c r="J73">
        <v>5699.9999999999991</v>
      </c>
      <c r="K73" t="s">
        <v>16</v>
      </c>
      <c r="L73" t="s">
        <v>128</v>
      </c>
    </row>
    <row r="74" spans="2:12" x14ac:dyDescent="0.25">
      <c r="B74" s="1">
        <v>10549</v>
      </c>
      <c r="C74" s="6">
        <v>45103</v>
      </c>
      <c r="D74" t="s">
        <v>298</v>
      </c>
      <c r="E74" t="s">
        <v>34</v>
      </c>
      <c r="F74" s="2">
        <v>52</v>
      </c>
      <c r="G74" t="s">
        <v>344</v>
      </c>
      <c r="H74">
        <v>400</v>
      </c>
      <c r="I74">
        <v>38</v>
      </c>
      <c r="J74">
        <v>15199.999999999996</v>
      </c>
      <c r="K74" t="s">
        <v>16</v>
      </c>
      <c r="L74" t="s">
        <v>128</v>
      </c>
    </row>
    <row r="75" spans="2:12" x14ac:dyDescent="0.25">
      <c r="B75" s="1">
        <v>10472</v>
      </c>
      <c r="C75" s="6">
        <v>45088</v>
      </c>
      <c r="D75" t="s">
        <v>299</v>
      </c>
      <c r="E75" t="s">
        <v>34</v>
      </c>
      <c r="F75" s="2">
        <v>38</v>
      </c>
      <c r="G75" t="s">
        <v>344</v>
      </c>
      <c r="H75">
        <v>320</v>
      </c>
      <c r="I75">
        <v>35</v>
      </c>
      <c r="J75">
        <v>11200</v>
      </c>
      <c r="K75" t="s">
        <v>16</v>
      </c>
      <c r="L75" t="s">
        <v>25</v>
      </c>
    </row>
    <row r="76" spans="2:12" x14ac:dyDescent="0.25">
      <c r="B76" s="1">
        <v>10499</v>
      </c>
      <c r="C76" s="6">
        <v>45093</v>
      </c>
      <c r="D76" t="s">
        <v>300</v>
      </c>
      <c r="E76" t="s">
        <v>34</v>
      </c>
      <c r="F76" s="2">
        <v>39</v>
      </c>
      <c r="G76" t="s">
        <v>344</v>
      </c>
      <c r="H76">
        <v>150</v>
      </c>
      <c r="I76">
        <v>33</v>
      </c>
      <c r="J76">
        <v>4950</v>
      </c>
      <c r="K76" t="s">
        <v>16</v>
      </c>
      <c r="L76" t="s">
        <v>25</v>
      </c>
    </row>
    <row r="77" spans="2:12" x14ac:dyDescent="0.25">
      <c r="B77" s="1">
        <v>10455</v>
      </c>
      <c r="C77" s="6">
        <v>45085</v>
      </c>
      <c r="D77" t="s">
        <v>301</v>
      </c>
      <c r="E77" t="s">
        <v>14</v>
      </c>
      <c r="F77" s="2">
        <v>31</v>
      </c>
      <c r="G77" t="s">
        <v>343</v>
      </c>
      <c r="H77">
        <v>400</v>
      </c>
      <c r="I77">
        <v>28</v>
      </c>
      <c r="J77">
        <v>11200</v>
      </c>
      <c r="K77" t="s">
        <v>16</v>
      </c>
      <c r="L77" t="s">
        <v>81</v>
      </c>
    </row>
    <row r="78" spans="2:12" x14ac:dyDescent="0.25">
      <c r="B78" s="1">
        <v>10522</v>
      </c>
      <c r="C78" s="6">
        <v>45098</v>
      </c>
      <c r="D78" t="s">
        <v>302</v>
      </c>
      <c r="E78" t="s">
        <v>14</v>
      </c>
      <c r="F78" s="2">
        <v>26</v>
      </c>
      <c r="G78" t="s">
        <v>328</v>
      </c>
      <c r="H78">
        <v>320</v>
      </c>
      <c r="I78">
        <v>27</v>
      </c>
      <c r="J78">
        <v>8640</v>
      </c>
      <c r="K78" t="s">
        <v>21</v>
      </c>
      <c r="L78" t="s">
        <v>100</v>
      </c>
    </row>
    <row r="79" spans="2:12" x14ac:dyDescent="0.25">
      <c r="B79" s="1">
        <v>10452</v>
      </c>
      <c r="C79" s="6">
        <v>45084</v>
      </c>
      <c r="D79" t="s">
        <v>303</v>
      </c>
      <c r="E79" t="s">
        <v>34</v>
      </c>
      <c r="F79" s="2">
        <v>23</v>
      </c>
      <c r="G79" t="s">
        <v>343</v>
      </c>
      <c r="H79">
        <v>150</v>
      </c>
      <c r="I79">
        <v>25</v>
      </c>
      <c r="J79">
        <v>3750</v>
      </c>
      <c r="K79" t="s">
        <v>44</v>
      </c>
      <c r="L79" t="s">
        <v>128</v>
      </c>
    </row>
    <row r="80" spans="2:12" x14ac:dyDescent="0.25">
      <c r="B80" s="1">
        <v>10457</v>
      </c>
      <c r="C80" s="6">
        <v>45085</v>
      </c>
      <c r="D80" t="s">
        <v>304</v>
      </c>
      <c r="E80" t="s">
        <v>34</v>
      </c>
      <c r="F80" s="2">
        <v>36</v>
      </c>
      <c r="G80" t="s">
        <v>344</v>
      </c>
      <c r="H80">
        <v>250</v>
      </c>
      <c r="I80">
        <v>25</v>
      </c>
      <c r="J80">
        <v>6250</v>
      </c>
      <c r="K80" t="s">
        <v>16</v>
      </c>
      <c r="L80" t="s">
        <v>100</v>
      </c>
    </row>
    <row r="81" spans="2:12" x14ac:dyDescent="0.25">
      <c r="B81" s="1">
        <v>10460</v>
      </c>
      <c r="C81" s="6">
        <v>45086</v>
      </c>
      <c r="D81" t="s">
        <v>305</v>
      </c>
      <c r="E81" t="s">
        <v>14</v>
      </c>
      <c r="F81" s="2">
        <v>20</v>
      </c>
      <c r="G81" t="s">
        <v>328</v>
      </c>
      <c r="H81">
        <v>320</v>
      </c>
      <c r="I81">
        <v>25</v>
      </c>
      <c r="J81">
        <v>8000</v>
      </c>
      <c r="K81" t="s">
        <v>16</v>
      </c>
      <c r="L81" t="s">
        <v>100</v>
      </c>
    </row>
    <row r="82" spans="2:12" x14ac:dyDescent="0.25">
      <c r="B82" s="1">
        <v>10462</v>
      </c>
      <c r="C82" s="6">
        <v>45086</v>
      </c>
      <c r="D82" t="s">
        <v>306</v>
      </c>
      <c r="E82" t="s">
        <v>34</v>
      </c>
      <c r="F82" s="2">
        <v>28</v>
      </c>
      <c r="G82" t="s">
        <v>325</v>
      </c>
      <c r="H82">
        <v>400</v>
      </c>
      <c r="I82">
        <v>25</v>
      </c>
      <c r="J82">
        <v>10000</v>
      </c>
      <c r="K82" t="s">
        <v>16</v>
      </c>
      <c r="L82" t="s">
        <v>100</v>
      </c>
    </row>
    <row r="83" spans="2:12" x14ac:dyDescent="0.25">
      <c r="B83" s="1">
        <v>10464</v>
      </c>
      <c r="C83" s="6">
        <v>45086</v>
      </c>
      <c r="D83" t="s">
        <v>307</v>
      </c>
      <c r="E83" t="s">
        <v>34</v>
      </c>
      <c r="F83" s="2">
        <v>32</v>
      </c>
      <c r="G83" t="s">
        <v>325</v>
      </c>
      <c r="H83">
        <v>320</v>
      </c>
      <c r="I83">
        <v>25</v>
      </c>
      <c r="J83">
        <v>8000</v>
      </c>
      <c r="K83" t="s">
        <v>16</v>
      </c>
      <c r="L83" t="s">
        <v>100</v>
      </c>
    </row>
    <row r="84" spans="2:12" x14ac:dyDescent="0.25">
      <c r="B84" s="1">
        <v>10454</v>
      </c>
      <c r="C84" s="6">
        <v>45084</v>
      </c>
      <c r="D84" t="s">
        <v>308</v>
      </c>
      <c r="E84" t="s">
        <v>14</v>
      </c>
      <c r="F84" s="2">
        <v>30</v>
      </c>
      <c r="G84" t="s">
        <v>343</v>
      </c>
      <c r="H84">
        <v>250</v>
      </c>
      <c r="I84">
        <v>25</v>
      </c>
      <c r="J84">
        <v>6250</v>
      </c>
      <c r="K84" t="s">
        <v>44</v>
      </c>
      <c r="L84" t="s">
        <v>105</v>
      </c>
    </row>
    <row r="85" spans="2:12" x14ac:dyDescent="0.25">
      <c r="B85" s="1">
        <v>10471</v>
      </c>
      <c r="C85" s="6">
        <v>45088</v>
      </c>
      <c r="D85" t="s">
        <v>309</v>
      </c>
      <c r="E85" t="s">
        <v>14</v>
      </c>
      <c r="F85" s="2">
        <v>23</v>
      </c>
      <c r="G85" t="s">
        <v>322</v>
      </c>
      <c r="H85">
        <v>150</v>
      </c>
      <c r="I85">
        <v>25</v>
      </c>
      <c r="J85">
        <v>3750</v>
      </c>
      <c r="K85" t="s">
        <v>16</v>
      </c>
      <c r="L85" t="s">
        <v>25</v>
      </c>
    </row>
    <row r="86" spans="2:12" x14ac:dyDescent="0.25">
      <c r="B86" s="1">
        <v>10482</v>
      </c>
      <c r="C86" s="6">
        <v>45090</v>
      </c>
      <c r="D86" t="s">
        <v>310</v>
      </c>
      <c r="E86" t="s">
        <v>34</v>
      </c>
      <c r="F86" s="2">
        <v>24</v>
      </c>
      <c r="G86" t="s">
        <v>328</v>
      </c>
      <c r="H86">
        <v>250</v>
      </c>
      <c r="I86">
        <v>25</v>
      </c>
      <c r="J86">
        <v>6250</v>
      </c>
      <c r="K86" t="s">
        <v>16</v>
      </c>
      <c r="L86" t="s">
        <v>105</v>
      </c>
    </row>
    <row r="87" spans="2:12" x14ac:dyDescent="0.25">
      <c r="B87" s="1">
        <v>10483</v>
      </c>
      <c r="C87" s="6">
        <v>45090</v>
      </c>
      <c r="D87" t="s">
        <v>311</v>
      </c>
      <c r="E87" t="s">
        <v>34</v>
      </c>
      <c r="F87" s="2">
        <v>20</v>
      </c>
      <c r="G87" t="s">
        <v>325</v>
      </c>
      <c r="H87">
        <v>320</v>
      </c>
      <c r="I87">
        <v>25</v>
      </c>
      <c r="J87">
        <v>8000</v>
      </c>
      <c r="K87" t="s">
        <v>16</v>
      </c>
      <c r="L87" t="s">
        <v>105</v>
      </c>
    </row>
    <row r="88" spans="2:12" x14ac:dyDescent="0.25">
      <c r="B88" s="1">
        <v>10492</v>
      </c>
      <c r="C88" s="6">
        <v>45092</v>
      </c>
      <c r="D88" t="s">
        <v>312</v>
      </c>
      <c r="E88" t="s">
        <v>34</v>
      </c>
      <c r="F88" s="2">
        <v>38</v>
      </c>
      <c r="G88" t="s">
        <v>329</v>
      </c>
      <c r="H88">
        <v>150</v>
      </c>
      <c r="I88">
        <v>25</v>
      </c>
      <c r="J88">
        <v>3750</v>
      </c>
      <c r="K88" t="s">
        <v>16</v>
      </c>
      <c r="L88" t="s">
        <v>25</v>
      </c>
    </row>
    <row r="89" spans="2:12" x14ac:dyDescent="0.25">
      <c r="B89" s="1">
        <v>10493</v>
      </c>
      <c r="C89" s="6">
        <v>45092</v>
      </c>
      <c r="D89" t="s">
        <v>313</v>
      </c>
      <c r="E89" t="s">
        <v>34</v>
      </c>
      <c r="F89" s="2">
        <v>36</v>
      </c>
      <c r="G89" t="s">
        <v>344</v>
      </c>
      <c r="H89">
        <v>150</v>
      </c>
      <c r="I89">
        <v>25</v>
      </c>
      <c r="J89">
        <v>3750</v>
      </c>
      <c r="K89" t="s">
        <v>16</v>
      </c>
      <c r="L89" t="s">
        <v>25</v>
      </c>
    </row>
    <row r="90" spans="2:12" x14ac:dyDescent="0.25">
      <c r="B90" s="1">
        <v>10497</v>
      </c>
      <c r="C90" s="6">
        <v>45093</v>
      </c>
      <c r="D90" t="s">
        <v>314</v>
      </c>
      <c r="E90" t="s">
        <v>34</v>
      </c>
      <c r="F90" s="2">
        <v>31</v>
      </c>
      <c r="G90" t="s">
        <v>344</v>
      </c>
      <c r="H90">
        <v>320</v>
      </c>
      <c r="I90">
        <v>25</v>
      </c>
      <c r="J90">
        <v>8000</v>
      </c>
      <c r="K90" t="s">
        <v>16</v>
      </c>
      <c r="L90" t="s">
        <v>25</v>
      </c>
    </row>
    <row r="91" spans="2:12" x14ac:dyDescent="0.25">
      <c r="B91" s="1">
        <v>10503</v>
      </c>
      <c r="C91" s="6">
        <v>45094</v>
      </c>
      <c r="D91" t="s">
        <v>315</v>
      </c>
      <c r="E91" t="s">
        <v>34</v>
      </c>
      <c r="F91" s="2">
        <v>33</v>
      </c>
      <c r="G91" t="s">
        <v>322</v>
      </c>
      <c r="H91">
        <v>320</v>
      </c>
      <c r="I91">
        <v>25</v>
      </c>
      <c r="J91">
        <v>8000</v>
      </c>
      <c r="K91" t="s">
        <v>16</v>
      </c>
      <c r="L91" t="s">
        <v>25</v>
      </c>
    </row>
    <row r="92" spans="2:12" x14ac:dyDescent="0.25">
      <c r="B92" s="1">
        <v>10511</v>
      </c>
      <c r="C92" s="6">
        <v>45096</v>
      </c>
      <c r="D92" t="s">
        <v>316</v>
      </c>
      <c r="E92" t="s">
        <v>14</v>
      </c>
      <c r="F92" s="2">
        <v>22</v>
      </c>
      <c r="G92" t="s">
        <v>345</v>
      </c>
      <c r="H92">
        <v>150</v>
      </c>
      <c r="I92">
        <v>25</v>
      </c>
      <c r="J92">
        <v>3750</v>
      </c>
      <c r="K92" t="s">
        <v>16</v>
      </c>
      <c r="L92" t="s">
        <v>105</v>
      </c>
    </row>
    <row r="93" spans="2:12" x14ac:dyDescent="0.25">
      <c r="B93" s="1">
        <v>10521</v>
      </c>
      <c r="C93" s="6">
        <v>45098</v>
      </c>
      <c r="D93" t="s">
        <v>317</v>
      </c>
      <c r="E93" t="s">
        <v>14</v>
      </c>
      <c r="F93" s="2">
        <v>26</v>
      </c>
      <c r="G93" t="s">
        <v>328</v>
      </c>
      <c r="H93">
        <v>400</v>
      </c>
      <c r="I93">
        <v>25</v>
      </c>
      <c r="J93">
        <v>10000</v>
      </c>
      <c r="K93" t="s">
        <v>21</v>
      </c>
      <c r="L93" t="s">
        <v>100</v>
      </c>
    </row>
    <row r="94" spans="2:12" x14ac:dyDescent="0.25">
      <c r="B94" s="1">
        <v>10530</v>
      </c>
      <c r="C94" s="6">
        <v>45100</v>
      </c>
      <c r="D94" t="s">
        <v>318</v>
      </c>
      <c r="E94" t="s">
        <v>14</v>
      </c>
      <c r="F94" s="2">
        <v>26</v>
      </c>
      <c r="G94" t="s">
        <v>323</v>
      </c>
      <c r="H94">
        <v>320</v>
      </c>
      <c r="I94">
        <v>24</v>
      </c>
      <c r="J94">
        <v>7539.2</v>
      </c>
      <c r="K94" t="s">
        <v>21</v>
      </c>
      <c r="L94" t="s">
        <v>100</v>
      </c>
    </row>
    <row r="95" spans="2:12" x14ac:dyDescent="0.25">
      <c r="B95" s="1">
        <v>10540</v>
      </c>
      <c r="C95" s="6">
        <v>45102</v>
      </c>
      <c r="D95" t="s">
        <v>319</v>
      </c>
      <c r="E95" t="s">
        <v>14</v>
      </c>
      <c r="F95" s="2">
        <v>62</v>
      </c>
      <c r="G95" t="s">
        <v>323</v>
      </c>
      <c r="H95">
        <v>250</v>
      </c>
      <c r="I95">
        <v>24</v>
      </c>
      <c r="J95">
        <v>5890</v>
      </c>
      <c r="K95" t="s">
        <v>16</v>
      </c>
      <c r="L95" t="s">
        <v>25</v>
      </c>
    </row>
    <row r="96" spans="2:12" x14ac:dyDescent="0.25">
      <c r="B96" s="1">
        <v>10520</v>
      </c>
      <c r="C96" s="6">
        <v>45098</v>
      </c>
      <c r="D96" t="s">
        <v>320</v>
      </c>
      <c r="E96" t="s">
        <v>14</v>
      </c>
      <c r="F96" s="2">
        <v>26</v>
      </c>
      <c r="G96" t="s">
        <v>328</v>
      </c>
      <c r="H96">
        <v>400</v>
      </c>
      <c r="I96">
        <v>23</v>
      </c>
      <c r="J96">
        <v>9200</v>
      </c>
      <c r="K96" t="s">
        <v>21</v>
      </c>
      <c r="L96" t="s">
        <v>100</v>
      </c>
    </row>
    <row r="97" spans="2:12" x14ac:dyDescent="0.25">
      <c r="B97" s="1">
        <v>10545</v>
      </c>
      <c r="C97" s="6">
        <v>45103</v>
      </c>
      <c r="D97" t="s">
        <v>321</v>
      </c>
      <c r="E97" t="s">
        <v>14</v>
      </c>
      <c r="F97" s="2">
        <v>20</v>
      </c>
      <c r="G97" t="s">
        <v>328</v>
      </c>
      <c r="H97">
        <v>400</v>
      </c>
      <c r="I97">
        <v>23</v>
      </c>
      <c r="J97">
        <v>8816</v>
      </c>
      <c r="K97" t="s">
        <v>16</v>
      </c>
      <c r="L97" t="s">
        <v>128</v>
      </c>
    </row>
    <row r="98" spans="2:12" x14ac:dyDescent="0.25">
      <c r="B98" s="1">
        <v>10489</v>
      </c>
      <c r="C98" s="6">
        <v>45091</v>
      </c>
      <c r="D98" t="s">
        <v>307</v>
      </c>
      <c r="E98" t="s">
        <v>34</v>
      </c>
      <c r="F98" s="2">
        <v>36</v>
      </c>
      <c r="G98" t="s">
        <v>325</v>
      </c>
      <c r="H98">
        <v>320</v>
      </c>
      <c r="I98">
        <v>20</v>
      </c>
      <c r="J98">
        <v>6400</v>
      </c>
      <c r="K98" t="s">
        <v>16</v>
      </c>
      <c r="L98" t="s">
        <v>25</v>
      </c>
    </row>
    <row r="99" spans="2:12" x14ac:dyDescent="0.25">
      <c r="B99" s="1">
        <v>10454</v>
      </c>
      <c r="C99" s="6">
        <v>45084</v>
      </c>
      <c r="D99" t="s">
        <v>307</v>
      </c>
      <c r="E99" t="s">
        <v>14</v>
      </c>
      <c r="F99" s="2">
        <v>30</v>
      </c>
      <c r="G99" t="s">
        <v>343</v>
      </c>
      <c r="H99">
        <v>150</v>
      </c>
      <c r="I99">
        <v>15</v>
      </c>
      <c r="J99">
        <v>2250</v>
      </c>
      <c r="K99" t="s">
        <v>44</v>
      </c>
      <c r="L99" t="s">
        <v>105</v>
      </c>
    </row>
    <row r="100" spans="2:12" x14ac:dyDescent="0.25">
      <c r="B100" s="1">
        <v>10454</v>
      </c>
      <c r="C100" s="6">
        <v>45084</v>
      </c>
      <c r="D100" t="s">
        <v>346</v>
      </c>
      <c r="E100" t="s">
        <v>14</v>
      </c>
      <c r="F100" s="2">
        <v>30</v>
      </c>
      <c r="G100" t="s">
        <v>343</v>
      </c>
      <c r="H100">
        <v>250</v>
      </c>
      <c r="I100">
        <v>10</v>
      </c>
      <c r="J100">
        <v>2500</v>
      </c>
      <c r="K100" t="s">
        <v>44</v>
      </c>
      <c r="L100" t="s">
        <v>105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Normal="100" workbookViewId="0">
      <selection activeCell="J11" sqref="J11"/>
    </sheetView>
  </sheetViews>
  <sheetFormatPr baseColWidth="10" defaultColWidth="8.7265625" defaultRowHeight="15" x14ac:dyDescent="0.25"/>
  <cols>
    <col min="1" max="1" width="8.90625" customWidth="1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4" ma:contentTypeDescription="Create a new document." ma:contentTypeScope="" ma:versionID="d323a163fed92fa332e68ad8716d16b0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870854cbbc02154c94318a30638e685b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8BE1749-0B87-4BB7-902B-BEACEE06ED35}">
  <ds:schemaRefs/>
</ds:datastoreItem>
</file>

<file path=customXml/itemProps2.xml><?xml version="1.0" encoding="utf-8"?>
<ds:datastoreItem xmlns:ds="http://schemas.openxmlformats.org/officeDocument/2006/customXml" ds:itemID="{E4BFEC4A-AE54-4FAD-995B-C9ACB847F28F}">
  <ds:schemaRefs/>
</ds:datastoreItem>
</file>

<file path=customXml/itemProps3.xml><?xml version="1.0" encoding="utf-8"?>
<ds:datastoreItem xmlns:ds="http://schemas.openxmlformats.org/officeDocument/2006/customXml" ds:itemID="{09937517-F4CD-485C-A58C-FD69A9E5FC2D}">
  <ds:schemaRefs/>
</ds:datastoreItem>
</file>

<file path=customXml/itemProps4.xml><?xml version="1.0" encoding="utf-8"?>
<ds:datastoreItem xmlns:ds="http://schemas.openxmlformats.org/officeDocument/2006/customXml" ds:itemID="{887B8FAA-2C84-4EF1-876D-740EC8158FF8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BDE5259-83B5-4A8F-9105-9164E39CC45B}">
  <ds:schemaRefs/>
</ds:datastoreItem>
</file>

<file path=customXml/itemProps6.xml><?xml version="1.0" encoding="utf-8"?>
<ds:datastoreItem xmlns:ds="http://schemas.openxmlformats.org/officeDocument/2006/customXml" ds:itemID="{8F203546-6246-4867-A735-954788007B77}">
  <ds:schemaRefs/>
</ds:datastoreItem>
</file>

<file path=customXml/itemProps7.xml><?xml version="1.0" encoding="utf-8"?>
<ds:datastoreItem xmlns:ds="http://schemas.openxmlformats.org/officeDocument/2006/customXml" ds:itemID="{FE4BD08D-A68F-4C31-B4C7-B421D922DA6C}">
  <ds:schemaRefs/>
</ds:datastoreItem>
</file>

<file path=customXml/itemProps8.xml><?xml version="1.0" encoding="utf-8"?>
<ds:datastoreItem xmlns:ds="http://schemas.openxmlformats.org/officeDocument/2006/customXml" ds:itemID="{F74F85C7-968F-4200-822F-AA94DCA75C35}">
  <ds:schemaRefs/>
</ds:datastoreItem>
</file>

<file path=customXml/itemProps9.xml><?xml version="1.0" encoding="utf-8"?>
<ds:datastoreItem xmlns:ds="http://schemas.openxmlformats.org/officeDocument/2006/customXml" ds:itemID="{BA18F44A-6835-49DC-B8D7-46B0BA85D3E1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A8BDBFED-C721-40C2-BE6E-B560D2B22432}">
  <ds:schemaRefs/>
</ds:datastoreItem>
</file>

<file path=customXml/itemProps11.xml><?xml version="1.0" encoding="utf-8"?>
<ds:datastoreItem xmlns:ds="http://schemas.openxmlformats.org/officeDocument/2006/customXml" ds:itemID="{450019C9-2EA4-4C7D-9878-64AA0A2C0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A219DC07-917B-4EF4-B14C-7CFE111ADB9F}">
  <ds:schemaRefs/>
</ds:datastoreItem>
</file>

<file path=customXml/itemProps13.xml><?xml version="1.0" encoding="utf-8"?>
<ds:datastoreItem xmlns:ds="http://schemas.openxmlformats.org/officeDocument/2006/customXml" ds:itemID="{80EDC3E3-06AD-4AD8-B9FC-A873F7D9AF4C}">
  <ds:schemaRefs/>
</ds:datastoreItem>
</file>

<file path=customXml/itemProps14.xml><?xml version="1.0" encoding="utf-8"?>
<ds:datastoreItem xmlns:ds="http://schemas.openxmlformats.org/officeDocument/2006/customXml" ds:itemID="{F15FE723-DC5D-4CD6-9806-B32FCC7A5E08}">
  <ds:schemaRefs>
    <ds:schemaRef ds:uri="01961662-24f8-48fa-8e1b-d6aec199e9f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6423d52d-cc33-4d55-a30a-79dd6b3aa391"/>
    <ds:schemaRef ds:uri="http://www.w3.org/XML/1998/namespace"/>
  </ds:schemaRefs>
</ds:datastoreItem>
</file>

<file path=customXml/itemProps15.xml><?xml version="1.0" encoding="utf-8"?>
<ds:datastoreItem xmlns:ds="http://schemas.openxmlformats.org/officeDocument/2006/customXml" ds:itemID="{22B15F6A-EB7A-4034-9BAF-C4084D5B9012}">
  <ds:schemaRefs/>
</ds:datastoreItem>
</file>

<file path=customXml/itemProps16.xml><?xml version="1.0" encoding="utf-8"?>
<ds:datastoreItem xmlns:ds="http://schemas.openxmlformats.org/officeDocument/2006/customXml" ds:itemID="{257363CC-2109-4927-BB7A-97084CC8FC9E}">
  <ds:schemaRefs/>
</ds:datastoreItem>
</file>

<file path=customXml/itemProps17.xml><?xml version="1.0" encoding="utf-8"?>
<ds:datastoreItem xmlns:ds="http://schemas.openxmlformats.org/officeDocument/2006/customXml" ds:itemID="{AA092B9A-E10F-47E5-8436-6101835E82D3}">
  <ds:schemaRefs/>
</ds:datastoreItem>
</file>

<file path=customXml/itemProps18.xml><?xml version="1.0" encoding="utf-8"?>
<ds:datastoreItem xmlns:ds="http://schemas.openxmlformats.org/officeDocument/2006/customXml" ds:itemID="{066A4F31-52CB-4DAC-83E3-FED62A89C28D}">
  <ds:schemaRefs/>
</ds:datastoreItem>
</file>

<file path=customXml/itemProps19.xml><?xml version="1.0" encoding="utf-8"?>
<ds:datastoreItem xmlns:ds="http://schemas.openxmlformats.org/officeDocument/2006/customXml" ds:itemID="{6F5455A8-66DE-497C-ABB8-6F87F12FEF7E}">
  <ds:schemaRefs/>
</ds:datastoreItem>
</file>

<file path=customXml/itemProps20.xml><?xml version="1.0" encoding="utf-8"?>
<ds:datastoreItem xmlns:ds="http://schemas.openxmlformats.org/officeDocument/2006/customXml" ds:itemID="{477EDC08-1A2F-41C0-936F-7BC226D296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uncleane data</vt:lpstr>
      <vt:lpstr>CLEANED DATA</vt:lpstr>
      <vt:lpstr>filtre</vt:lpstr>
      <vt:lpstr>only_spain_workers</vt:lpstr>
      <vt:lpstr>resume of pivot table </vt:lpstr>
      <vt:lpstr>filter with age</vt:lpstr>
      <vt:lpstr>dashboards 6 charts </vt:lpstr>
      <vt:lpstr>,sumif,count,average</vt:lpstr>
      <vt:lpstr>sql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sylvestre</cp:lastModifiedBy>
  <dcterms:created xsi:type="dcterms:W3CDTF">2023-08-21T15:28:59Z</dcterms:created>
  <dcterms:modified xsi:type="dcterms:W3CDTF">2026-02-03T12:13:15Z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